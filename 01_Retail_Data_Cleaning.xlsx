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84397861\Desktop\Power Q\TB\"/>
    </mc:Choice>
  </mc:AlternateContent>
  <xr:revisionPtr revIDLastSave="0" documentId="13_ncr:1_{DFB334D4-7A28-4AA2-AC29-90FDA83E7FBB}" xr6:coauthVersionLast="47" xr6:coauthVersionMax="47" xr10:uidLastSave="{00000000-0000-0000-0000-000000000000}"/>
  <bookViews>
    <workbookView xWindow="-110" yWindow="-110" windowWidth="19420" windowHeight="10300" firstSheet="3" activeTab="6" xr2:uid="{979B7B68-39D2-4A7E-BA79-C010BC4CB783}"/>
  </bookViews>
  <sheets>
    <sheet name="Sheet2" sheetId="3" r:id="rId1"/>
    <sheet name="Analayzes_1" sheetId="5" r:id="rId2"/>
    <sheet name="KPI_Pivots" sheetId="6" r:id="rId3"/>
    <sheet name="retail_sales_dataset" sheetId="2" r:id="rId4"/>
    <sheet name="KPIs" sheetId="1" r:id="rId5"/>
    <sheet name="Dashboard" sheetId="8" r:id="rId6"/>
    <sheet name="About_Project" sheetId="9" r:id="rId7"/>
  </sheets>
  <definedNames>
    <definedName name="_xlcn.WorksheetConnection_Day2.1_Retail_Sales_Analysis.xlsxcleaned_transactions" hidden="1">cleaned_transactions[]</definedName>
    <definedName name="ExternalData_1" localSheetId="3" hidden="1">retail_sales_dataset!$A$1:$L$1001</definedName>
    <definedName name="Slicer_Product_Category">#N/A</definedName>
    <definedName name="Slicer_Product_Category1">#N/A</definedName>
  </definedNames>
  <calcPr calcId="191029"/>
  <pivotCaches>
    <pivotCache cacheId="0" r:id="rId8"/>
    <pivotCache cacheId="1" r:id="rId9"/>
    <pivotCache cacheId="2" r:id="rId10"/>
  </pivotCaches>
  <extLst>
    <ext xmlns:x14="http://schemas.microsoft.com/office/spreadsheetml/2009/9/main" uri="{876F7934-8845-4945-9796-88D515C7AA90}">
      <x14:pivotCaches>
        <pivotCache cacheId="3"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_transactions" name="cleaned_transactions" connection="WorksheetConnection_Day2.1_Retail_Sales_Analysis.xlsx!cleaned_transactio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 i="9" l="1" a="1"/>
  <c r="B13" i="9" s="1"/>
  <c r="B14" i="9" a="1"/>
  <c r="B14" i="9" s="1"/>
  <c r="B15" i="9" a="1"/>
  <c r="B15" i="9"/>
  <c r="B18" i="9" a="1"/>
  <c r="B18" i="9" s="1"/>
  <c r="B19" i="9" a="1"/>
  <c r="B19" i="9" s="1"/>
  <c r="B20" i="9" a="1"/>
  <c r="B20" i="9" s="1"/>
  <c r="B21" i="9" a="1"/>
  <c r="B21" i="9" s="1"/>
  <c r="B22" i="9" a="1"/>
  <c r="B22" i="9" s="1"/>
  <c r="B23" i="9" a="1"/>
  <c r="B23" i="9" s="1"/>
  <c r="B24" i="9" a="1"/>
  <c r="B24" i="9" s="1"/>
  <c r="B27" i="9"/>
  <c r="B28" i="9" a="1"/>
  <c r="B28" i="9"/>
  <c r="B29" i="9" a="1"/>
  <c r="B29" i="9"/>
  <c r="B6" i="1" l="1"/>
  <c r="B5" i="1"/>
  <c r="M121" i="2" a="1"/>
  <c r="M121" i="2" s="1"/>
  <c r="B4" i="1"/>
  <c r="B3"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F15CFE-12A7-4CF0-AF5F-D4C54E04EE82}" keepAlive="1" name="Query - retail_sales_dataset" description="Connection to the 'retail_sales_dataset' query in the workbook." type="5" refreshedVersion="7" background="1" saveData="1">
    <dbPr connection="Provider=Microsoft.Mashup.OleDb.1;Data Source=$Workbook$;Location=retail_sales_dataset;Extended Properties=&quot;&quot;" command="SELECT * FROM [retail_sales_dataset]"/>
  </connection>
  <connection id="2" xr16:uid="{4A1CC7E7-83FC-41EC-AAB0-E947BFD4C1F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0226AE0-5641-45E0-834E-B8561A2AEC81}" name="WorksheetConnection_Day2.1_Retail_Sales_Analysis.xlsx!cleaned_transactions" type="102" refreshedVersion="7" minRefreshableVersion="5">
    <extLst>
      <ext xmlns:x15="http://schemas.microsoft.com/office/spreadsheetml/2010/11/main" uri="{DE250136-89BD-433C-8126-D09CA5730AF9}">
        <x15:connection id="cleaned_transactions" autoDelete="1">
          <x15:rangePr sourceName="_xlcn.WorksheetConnection_Day2.1_Retail_Sales_Analysis.xlsxcleaned_transaction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<sst xmlns="http://schemas.openxmlformats.org/spreadsheetml/2006/main" count="4082" uniqueCount="1053">
  <si>
    <t>Transaction ID</t>
  </si>
  <si>
    <t>Date</t>
  </si>
  <si>
    <t>Month Name</t>
  </si>
  <si>
    <t>Customer ID</t>
  </si>
  <si>
    <t>Gender</t>
  </si>
  <si>
    <t>Age</t>
  </si>
  <si>
    <t>Product Category</t>
  </si>
  <si>
    <t>Quantity Per Product</t>
  </si>
  <si>
    <t>Price per Unit</t>
  </si>
  <si>
    <t>Total Amount</t>
  </si>
  <si>
    <t>Total value validationCustom</t>
  </si>
  <si>
    <t>Date - Copy</t>
  </si>
  <si>
    <t>November</t>
  </si>
  <si>
    <t>CUST001</t>
  </si>
  <si>
    <t>Male</t>
  </si>
  <si>
    <t>Beauty</t>
  </si>
  <si>
    <t>February</t>
  </si>
  <si>
    <t>CUST002</t>
  </si>
  <si>
    <t>Female</t>
  </si>
  <si>
    <t>Clothing</t>
  </si>
  <si>
    <t>January</t>
  </si>
  <si>
    <t>CUST003</t>
  </si>
  <si>
    <t>Electronics</t>
  </si>
  <si>
    <t>May</t>
  </si>
  <si>
    <t>CUST004</t>
  </si>
  <si>
    <t>CUST005</t>
  </si>
  <si>
    <t>April</t>
  </si>
  <si>
    <t>CUST006</t>
  </si>
  <si>
    <t>March</t>
  </si>
  <si>
    <t>CUST007</t>
  </si>
  <si>
    <t>CUST008</t>
  </si>
  <si>
    <t>December</t>
  </si>
  <si>
    <t>CUST009</t>
  </si>
  <si>
    <t>October</t>
  </si>
  <si>
    <t>CUST010</t>
  </si>
  <si>
    <t>CUST011</t>
  </si>
  <si>
    <t>CUST012</t>
  </si>
  <si>
    <t>August</t>
  </si>
  <si>
    <t>CUST013</t>
  </si>
  <si>
    <t>CUST014</t>
  </si>
  <si>
    <t>CUST015</t>
  </si>
  <si>
    <t>CUST016</t>
  </si>
  <si>
    <t>CUST017</t>
  </si>
  <si>
    <t>CUST018</t>
  </si>
  <si>
    <t>September</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</si>
  <si>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</si>
  <si>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</si>
  <si>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</si>
  <si>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</si>
  <si>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</si>
  <si>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</si>
  <si>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</si>
  <si>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</si>
  <si>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</si>
  <si>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</si>
  <si>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</si>
  <si>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</si>
  <si>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</si>
  <si>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</si>
  <si>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</si>
  <si>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</si>
  <si>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</si>
  <si>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June</t>
  </si>
  <si>
    <t>CUST036</t>
  </si>
  <si>
    <t>CUST037</t>
  </si>
  <si>
    <t>CUST038</t>
  </si>
  <si>
    <t>CUST039</t>
  </si>
  <si>
    <t>CUST040</t>
  </si>
  <si>
    <t>CUST041</t>
  </si>
  <si>
    <t>CUST042</t>
  </si>
  <si>
    <t>July</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</si>
  <si>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</si>
  <si>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</si>
  <si>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</si>
  <si>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</si>
  <si>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</si>
  <si>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</si>
  <si>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</si>
  <si>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</si>
  <si>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</si>
  <si>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</si>
  <si>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</si>
  <si>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</si>
  <si>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</si>
  <si>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</si>
  <si>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</si>
  <si>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</si>
  <si>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</si>
  <si>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</si>
  <si>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</si>
  <si>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</si>
  <si>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</si>
  <si>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</si>
  <si>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</si>
  <si>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</si>
  <si>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</si>
  <si>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</si>
  <si>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</si>
  <si>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</si>
  <si>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</si>
  <si>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</si>
  <si>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</si>
  <si>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</si>
  <si>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</si>
  <si>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</si>
  <si>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</si>
  <si>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</si>
  <si>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</si>
  <si>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</si>
  <si>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</si>
  <si>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</si>
  <si>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</si>
  <si>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</si>
  <si>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</si>
  <si>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</si>
  <si>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</si>
  <si>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</si>
  <si>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</si>
  <si>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</si>
  <si>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</si>
  <si>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</si>
  <si>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</si>
  <si>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</si>
  <si>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</si>
  <si>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</si>
  <si>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</si>
  <si>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</si>
  <si>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</si>
  <si>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</si>
  <si>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</si>
  <si>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</si>
  <si>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</si>
  <si>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</si>
  <si>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</si>
  <si>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</si>
  <si>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</si>
  <si>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</si>
  <si>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</si>
  <si>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</si>
  <si>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</si>
  <si>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</si>
  <si>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</si>
  <si>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</si>
  <si>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</si>
  <si>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</si>
  <si>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</si>
  <si>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</si>
  <si>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</si>
  <si>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</si>
  <si>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</si>
  <si>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</si>
  <si>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</si>
  <si>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</si>
  <si>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</si>
  <si>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</si>
  <si>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</si>
  <si>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</si>
  <si>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</si>
  <si>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</si>
  <si>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</si>
  <si>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</si>
  <si>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</si>
  <si>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</si>
  <si>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</si>
  <si>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</si>
  <si>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</si>
  <si>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</si>
  <si>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</si>
  <si>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</si>
  <si>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</si>
  <si>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</si>
  <si>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</si>
  <si>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</si>
  <si>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</si>
  <si>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</si>
  <si>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</si>
  <si>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</si>
  <si>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</si>
  <si>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</si>
  <si>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</si>
  <si>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</si>
  <si>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</si>
  <si>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</si>
  <si>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</si>
  <si>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</si>
  <si>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</si>
  <si>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</si>
  <si>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</si>
  <si>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</si>
  <si>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</si>
  <si>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</si>
  <si>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</si>
  <si>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</si>
  <si>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</si>
  <si>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</si>
  <si>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</si>
  <si>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</si>
  <si>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</si>
  <si>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</si>
  <si>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</si>
  <si>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</si>
  <si>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</si>
  <si>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</si>
  <si>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</si>
  <si>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</si>
  <si>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</si>
  <si>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</si>
  <si>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</si>
  <si>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</si>
  <si>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</si>
  <si>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</si>
  <si>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</si>
  <si>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</si>
  <si>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</si>
  <si>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</si>
  <si>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</si>
  <si>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</si>
  <si>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</si>
  <si>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</si>
  <si>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</si>
  <si>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</si>
  <si>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</si>
  <si>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</si>
  <si>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</si>
  <si>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</si>
  <si>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</si>
  <si>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</si>
  <si>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</si>
  <si>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</si>
  <si>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</si>
  <si>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</si>
  <si>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</si>
  <si>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</si>
  <si>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</si>
  <si>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</si>
  <si>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</si>
  <si>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</si>
  <si>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</si>
  <si>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</si>
  <si>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</si>
  <si>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</si>
  <si>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</si>
  <si>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</si>
  <si>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</si>
  <si>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</si>
  <si>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</si>
  <si>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</si>
  <si>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</si>
  <si>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</si>
  <si>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</si>
  <si>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</si>
  <si>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</si>
  <si>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</si>
  <si>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</si>
  <si>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</si>
  <si>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</si>
  <si>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</si>
  <si>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</si>
  <si>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</si>
  <si>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</si>
  <si>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</si>
  <si>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</si>
  <si>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</si>
  <si>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</si>
  <si>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</si>
  <si>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</si>
  <si>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</si>
  <si>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</si>
  <si>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</si>
  <si>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</si>
  <si>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</si>
  <si>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</si>
  <si>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</si>
  <si>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</si>
  <si>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</si>
  <si>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</si>
  <si>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</si>
  <si>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</si>
  <si>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</si>
  <si>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</si>
  <si>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</si>
  <si>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</si>
  <si>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</si>
  <si>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</si>
  <si>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</si>
  <si>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</si>
  <si>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</si>
  <si>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</si>
  <si>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</si>
  <si>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</si>
  <si>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</si>
  <si>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</si>
  <si>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</si>
  <si>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</si>
  <si>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</si>
  <si>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</si>
  <si>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</si>
  <si>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</si>
  <si>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</si>
  <si>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</si>
  <si>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</si>
  <si>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</si>
  <si>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</si>
  <si>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</si>
  <si>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</si>
  <si>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</si>
  <si>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</si>
  <si>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</si>
  <si>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</si>
  <si>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</si>
  <si>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</si>
  <si>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</si>
  <si>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</si>
  <si>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</si>
  <si>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</si>
  <si>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</si>
  <si>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</si>
  <si>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</si>
  <si>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</si>
  <si>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</si>
  <si>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</si>
  <si>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</si>
  <si>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</si>
  <si>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</si>
  <si>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</si>
  <si>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</si>
  <si>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</si>
  <si>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</si>
  <si>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</si>
  <si>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</si>
  <si>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</si>
  <si>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</si>
  <si>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</si>
  <si>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</si>
  <si>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</si>
  <si>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</si>
  <si>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</si>
  <si>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</si>
  <si>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</si>
  <si>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</si>
  <si>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</si>
  <si>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</si>
  <si>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</si>
  <si>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</si>
  <si>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</si>
  <si>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</si>
  <si>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</si>
  <si>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</si>
  <si>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</si>
  <si>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</si>
  <si>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</si>
  <si>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</si>
  <si>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</si>
  <si>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</si>
  <si>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</si>
  <si>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</si>
  <si>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</si>
  <si>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</si>
  <si>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</si>
  <si>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</si>
  <si>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</si>
  <si>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</si>
  <si>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</si>
  <si>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</si>
  <si>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</si>
  <si>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</si>
  <si>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</si>
  <si>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</si>
  <si>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</si>
  <si>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</si>
  <si>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</si>
  <si>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</si>
  <si>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</si>
  <si>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</si>
  <si>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</si>
  <si>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</si>
  <si>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</si>
  <si>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</si>
  <si>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</si>
  <si>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</si>
  <si>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</si>
  <si>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</si>
  <si>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</si>
  <si>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</si>
  <si>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</si>
  <si>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</si>
  <si>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</si>
  <si>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</si>
  <si>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</si>
  <si>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</si>
  <si>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</si>
  <si>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</si>
  <si>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</si>
  <si>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</si>
  <si>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</si>
  <si>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</si>
  <si>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</si>
  <si>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</si>
  <si>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</si>
  <si>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</si>
  <si>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</si>
  <si>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</si>
  <si>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</si>
  <si>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</si>
  <si>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</si>
  <si>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</si>
  <si>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</si>
  <si>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</si>
  <si>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</si>
  <si>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</si>
  <si>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</si>
  <si>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</si>
  <si>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</si>
  <si>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</si>
  <si>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</si>
  <si>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</si>
  <si>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</si>
  <si>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</si>
  <si>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</si>
  <si>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</si>
  <si>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</si>
  <si>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</si>
  <si>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</si>
  <si>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</si>
  <si>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</si>
  <si>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</si>
  <si>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</si>
  <si>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</si>
  <si>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</si>
  <si>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</si>
  <si>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</si>
  <si>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</si>
  <si>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</si>
  <si>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</si>
  <si>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</si>
  <si>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</si>
  <si>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</si>
  <si>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</si>
  <si>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</si>
  <si>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</si>
  <si>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</si>
  <si>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</si>
  <si>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</si>
  <si>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</si>
  <si>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</si>
  <si>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</si>
  <si>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</si>
  <si>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</si>
  <si>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</si>
  <si>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</si>
  <si>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</si>
  <si>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</si>
  <si>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</si>
  <si>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</si>
  <si>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</si>
  <si>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</si>
  <si>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</si>
  <si>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</si>
  <si>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</si>
  <si>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</si>
  <si>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</si>
  <si>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</si>
  <si>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</si>
  <si>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</si>
  <si>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</si>
  <si>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</si>
  <si>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</si>
  <si>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</si>
  <si>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</si>
  <si>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</si>
  <si>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</si>
  <si>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</si>
  <si>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</si>
  <si>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</si>
  <si>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</si>
  <si>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</si>
  <si>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</si>
  <si>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</si>
  <si>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</si>
  <si>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</si>
  <si>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</si>
  <si>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</si>
  <si>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</si>
  <si>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</si>
  <si>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</si>
  <si>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</si>
  <si>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</si>
  <si>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</si>
  <si>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</si>
  <si>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</si>
  <si>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</si>
  <si>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</si>
  <si>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</si>
  <si>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</si>
  <si>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</si>
  <si>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</si>
  <si>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</si>
  <si>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</si>
  <si>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</si>
  <si>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</si>
  <si>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</si>
  <si>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</si>
  <si>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</si>
  <si>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</si>
  <si>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</si>
  <si>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</si>
  <si>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</si>
  <si>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</si>
  <si>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</si>
  <si>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</si>
  <si>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</si>
  <si>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</si>
  <si>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</si>
  <si>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</si>
  <si>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</si>
  <si>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</si>
  <si>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</si>
  <si>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</si>
  <si>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</si>
  <si>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</si>
  <si>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</si>
  <si>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</si>
  <si>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</si>
  <si>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</si>
  <si>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</si>
  <si>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</si>
  <si>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</si>
  <si>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</si>
  <si>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</si>
  <si>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</si>
  <si>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</si>
  <si>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</si>
  <si>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</si>
  <si>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</si>
  <si>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</si>
  <si>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</si>
  <si>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</si>
  <si>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</si>
  <si>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</si>
  <si>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</si>
  <si>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</si>
  <si>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</si>
  <si>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</si>
  <si>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</si>
  <si>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</si>
  <si>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</si>
  <si>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</si>
  <si>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</si>
  <si>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</si>
  <si>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</si>
  <si>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</si>
  <si>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</si>
  <si>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</si>
  <si>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</si>
  <si>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</si>
  <si>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</si>
  <si>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</si>
  <si>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</si>
  <si>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</si>
  <si>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</si>
  <si>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</si>
  <si>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</si>
  <si>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</si>
  <si>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</si>
  <si>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</si>
  <si>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</si>
  <si>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</si>
  <si>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</si>
  <si>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</si>
  <si>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</si>
  <si>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</si>
  <si>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</si>
  <si>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</si>
  <si>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</si>
  <si>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</si>
  <si>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</si>
  <si>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</si>
  <si>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</si>
  <si>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</si>
  <si>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</si>
  <si>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</si>
  <si>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</si>
  <si>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</si>
  <si>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</si>
  <si>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</si>
  <si>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</si>
  <si>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</si>
  <si>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</si>
  <si>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</si>
  <si>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</si>
  <si>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</si>
  <si>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</si>
  <si>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</si>
  <si>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</si>
  <si>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</si>
  <si>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</si>
  <si>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</si>
  <si>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</si>
  <si>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</si>
  <si>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</si>
  <si>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</si>
  <si>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</si>
  <si>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</si>
  <si>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</si>
  <si>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</si>
  <si>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</si>
  <si>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</si>
  <si>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</si>
  <si>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</si>
  <si>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</si>
  <si>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</si>
  <si>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</si>
  <si>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</si>
  <si>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</si>
  <si>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</si>
  <si>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</si>
  <si>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</si>
  <si>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</si>
  <si>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</si>
  <si>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</si>
  <si>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</si>
  <si>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</si>
  <si>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</si>
  <si>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</si>
  <si>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</si>
  <si>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</si>
  <si>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</si>
  <si>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</si>
  <si>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</si>
  <si>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</si>
  <si>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</si>
  <si>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</si>
  <si>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</si>
  <si>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</si>
  <si>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</si>
  <si>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</si>
  <si>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</si>
  <si>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</si>
  <si>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</si>
  <si>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</si>
  <si>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</si>
  <si>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</si>
  <si>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</si>
  <si>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</si>
  <si>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</si>
  <si>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</si>
  <si>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</si>
  <si>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</si>
  <si>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</si>
  <si>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</si>
  <si>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</si>
  <si>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</si>
  <si>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</si>
  <si>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</si>
  <si>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</si>
  <si>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</si>
  <si>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</si>
  <si>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</si>
  <si>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</si>
  <si>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</si>
  <si>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</si>
  <si>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</si>
  <si>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</si>
  <si>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</si>
  <si>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</si>
  <si>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</si>
  <si>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</si>
  <si>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</si>
  <si>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</si>
  <si>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</si>
  <si>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</si>
  <si>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</si>
  <si>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</si>
  <si>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</si>
  <si>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</si>
  <si>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</si>
  <si>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</si>
  <si>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</si>
  <si>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</si>
  <si>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</si>
  <si>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</si>
  <si>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</si>
  <si>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</si>
  <si>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</si>
  <si>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</si>
  <si>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</si>
  <si>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</si>
  <si>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</si>
  <si>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</si>
  <si>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</si>
  <si>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</si>
  <si>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</si>
  <si>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</si>
  <si>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</si>
  <si>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</si>
  <si>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</si>
  <si>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</si>
  <si>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</si>
  <si>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</si>
  <si>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</si>
  <si>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</si>
  <si>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</si>
  <si>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</si>
  <si>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</si>
  <si>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</si>
  <si>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</si>
  <si>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</si>
  <si>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</si>
  <si>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</si>
  <si>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</si>
  <si>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</si>
  <si>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</si>
  <si>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</si>
  <si>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</si>
  <si>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</si>
  <si>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</si>
  <si>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</si>
  <si>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</si>
  <si>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</si>
  <si>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</si>
  <si>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</si>
  <si>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</si>
  <si>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</si>
  <si>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</si>
  <si>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</si>
  <si>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</si>
  <si>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</si>
  <si>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</si>
  <si>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</si>
  <si>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</si>
  <si>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</si>
  <si>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</si>
  <si>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</si>
  <si>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</si>
  <si>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</si>
  <si>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</si>
  <si>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</si>
  <si>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</si>
  <si>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</si>
  <si>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</si>
  <si>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</si>
  <si>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</si>
  <si>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</si>
  <si>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</si>
  <si>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</si>
  <si>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</si>
  <si>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</si>
  <si>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</si>
  <si>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</si>
  <si>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</si>
  <si>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</si>
  <si>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</si>
  <si>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</si>
  <si>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</si>
  <si>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</si>
  <si>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</si>
  <si>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</si>
  <si>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</si>
  <si>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</si>
  <si>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</si>
  <si>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</si>
  <si>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</si>
  <si>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</si>
  <si>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</si>
  <si>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</si>
  <si>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</si>
  <si>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</si>
  <si>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</si>
  <si>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</si>
  <si>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</si>
  <si>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</si>
  <si>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</si>
  <si>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</si>
  <si>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</si>
  <si>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</si>
  <si>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</si>
  <si>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</si>
  <si>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</si>
  <si>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</si>
  <si>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</si>
  <si>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</si>
  <si>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</si>
  <si>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</si>
  <si>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</si>
  <si>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</si>
  <si>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</si>
  <si>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</si>
  <si>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</si>
  <si>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</si>
  <si>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</si>
  <si>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</si>
  <si>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</si>
  <si>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</si>
  <si>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</si>
  <si>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</si>
  <si>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</si>
  <si>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</si>
  <si>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</si>
  <si>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</si>
  <si>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</si>
  <si>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</si>
  <si>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</si>
  <si>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</si>
  <si>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</si>
  <si>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</si>
  <si>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</si>
  <si>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</si>
  <si>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</si>
  <si>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</si>
  <si>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</si>
  <si>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</si>
  <si>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</si>
  <si>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</si>
  <si>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</si>
  <si>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</si>
  <si>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</si>
  <si>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</si>
  <si>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</si>
  <si>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</si>
  <si>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</si>
  <si>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</si>
  <si>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</si>
  <si>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</si>
  <si>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</si>
  <si>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</si>
  <si>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</si>
  <si>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</si>
  <si>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</si>
  <si>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</si>
  <si>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</si>
  <si>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</si>
  <si>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</si>
  <si>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</si>
  <si>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</si>
  <si>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</si>
  <si>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</si>
  <si>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</si>
  <si>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</si>
  <si>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</si>
  <si>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</si>
  <si>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</si>
  <si>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</si>
  <si>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</si>
  <si>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</si>
  <si>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</si>
  <si>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</si>
  <si>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</si>
  <si>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</si>
  <si>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</si>
  <si>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</si>
  <si>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</si>
  <si>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</si>
  <si>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</si>
  <si>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</si>
  <si>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</si>
  <si>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</si>
  <si>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</si>
  <si>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</si>
  <si>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</si>
  <si>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</si>
  <si>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</si>
  <si>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</si>
  <si>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</si>
  <si>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</si>
  <si>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</si>
  <si>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</si>
  <si>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</si>
  <si>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</si>
  <si>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</si>
  <si>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</si>
  <si>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</si>
  <si>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</si>
  <si>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</si>
  <si>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</si>
  <si>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</si>
  <si>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</si>
  <si>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</si>
  <si>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</si>
  <si>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</si>
  <si>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</si>
  <si>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</si>
  <si>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</si>
  <si>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</si>
  <si>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</si>
  <si>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</si>
  <si>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</si>
  <si>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</si>
  <si>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</si>
  <si>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</si>
  <si>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</si>
  <si>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</si>
  <si>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</si>
  <si>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</si>
  <si>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</si>
  <si>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</si>
  <si>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</si>
  <si>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</si>
  <si>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</si>
  <si>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</si>
  <si>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</si>
  <si>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</si>
  <si>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</si>
  <si>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</si>
  <si>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</si>
  <si>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</si>
  <si>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</si>
  <si>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</si>
  <si>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</si>
  <si>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</si>
  <si>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</si>
  <si>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</si>
  <si>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</si>
  <si>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</si>
  <si>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</si>
  <si>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</si>
  <si>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</si>
  <si>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</si>
  <si>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</si>
  <si>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</si>
  <si>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</si>
  <si>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</si>
  <si>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</si>
  <si>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</si>
  <si>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</si>
  <si>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</si>
  <si>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</si>
  <si>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</si>
  <si>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</si>
  <si>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</si>
  <si>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</si>
  <si>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</si>
  <si>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</si>
  <si>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</si>
  <si>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</si>
  <si>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</si>
  <si>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</si>
  <si>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</si>
  <si>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</si>
  <si>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</si>
  <si>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</si>
  <si>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</si>
  <si>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</si>
  <si>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</si>
  <si>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</si>
  <si>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</si>
  <si>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</si>
  <si>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</si>
  <si>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</si>
  <si>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</si>
  <si>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</si>
  <si>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</si>
  <si>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</si>
  <si>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</si>
  <si>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</si>
  <si>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</si>
  <si>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</si>
  <si>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</si>
  <si>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</si>
  <si>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</si>
  <si>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</si>
  <si>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</si>
  <si>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</si>
  <si>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</si>
  <si>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</si>
  <si>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</si>
  <si>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</si>
  <si>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</si>
  <si>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</si>
  <si>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</si>
  <si>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</si>
  <si>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</si>
  <si>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</si>
  <si>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</si>
  <si>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</si>
  <si>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</si>
  <si>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</si>
  <si>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</si>
  <si>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</si>
  <si>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</si>
  <si>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</si>
  <si>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</si>
  <si>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</si>
  <si>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</si>
  <si>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</si>
  <si>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</si>
  <si>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</si>
  <si>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</si>
  <si>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</si>
  <si>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</si>
  <si>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</si>
  <si>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</si>
  <si>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</si>
  <si>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</si>
  <si>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</si>
  <si>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</si>
  <si>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</si>
  <si>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</si>
  <si>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</si>
  <si>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</si>
  <si>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</si>
  <si>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</si>
  <si>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</si>
  <si>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</si>
  <si>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</si>
  <si>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</si>
  <si>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</si>
  <si>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</si>
  <si>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</si>
  <si>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</si>
  <si>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</si>
  <si>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</si>
  <si>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</si>
  <si>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</si>
  <si>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</si>
  <si>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</si>
  <si>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</si>
  <si>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</si>
  <si>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</si>
  <si>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</si>
  <si>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</si>
  <si>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</si>
  <si>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</si>
  <si>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</si>
  <si>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</si>
  <si>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</si>
  <si>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</si>
  <si>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</si>
  <si>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</si>
  <si>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</si>
  <si>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</si>
  <si>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</si>
  <si>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Sum of Total Amount</t>
  </si>
  <si>
    <t>Monthly total Sale</t>
  </si>
  <si>
    <t>Total Sales</t>
  </si>
  <si>
    <t>Number of Transactions</t>
  </si>
  <si>
    <t>Average Order Value</t>
  </si>
  <si>
    <t>Top Category</t>
  </si>
  <si>
    <t>Best Month</t>
  </si>
  <si>
    <t>Count of Transaction ID</t>
  </si>
  <si>
    <t>Retail Sales Performance Dashboard</t>
  </si>
  <si>
    <t>Monthly Total Sales</t>
  </si>
  <si>
    <t>Project Title:</t>
  </si>
  <si>
    <t>Retail Sales Data Cleaning &amp; Validation</t>
  </si>
  <si>
    <t>Objective:</t>
  </si>
  <si>
    <t>To clean raw retail sales data using Power Query, apply proper data typing,</t>
  </si>
  <si>
    <t>validate transactional amounts, and prepare a reliable dataset for analysis.</t>
  </si>
  <si>
    <t>Dataset Source:</t>
  </si>
  <si>
    <t>Kaggle – Retail Sales Dataset</t>
  </si>
  <si>
    <t>Tools Used:</t>
  </si>
  <si>
    <t>Key Cleaning Steps:</t>
  </si>
  <si>
    <t>Key Learnings:</t>
  </si>
  <si>
    <t>Outcome:</t>
  </si>
  <si>
    <t>A clean, validated retail sales dataset ready for reporting and dashboarding.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</si>
</sst>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409]* #,##0.00_);_([$$-409]* \(#,##0.00\);_([$$-409]* &quot;-&quot;??_);_(@_)"/>
    <numFmt numFmtId="165" formatCode="&quot;$&quot;#,##0.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44" fontId="0" fillId="0" borderId="0" xfId="0" applyNumberFormat="1"/>
    <xf numFmtId="164" fontId="0" fillId="0" borderId="0" xfId="0" applyNumberFormat="1"/>
    <xf numFmtId="44" fontId="0" fillId="0" borderId="0" xfId="1" applyFont="1" applyAlignment="1">
      <alignment horizontal="left"/>
    </xf>
    <xf numFmtId="0" fontId="0" fillId="0" borderId="0" xfId="0" applyNumberFormat="1" applyAlignment="1">
      <alignment horizontal="left"/>
    </xf>
    <xf numFmtId="0" fontId="2" fillId="0" borderId="1" xfId="0" applyFont="1" applyBorder="1"/>
    <xf numFmtId="164" fontId="0" fillId="0" borderId="1" xfId="0" applyNumberFormat="1" applyFont="1" applyBorder="1"/>
    <xf numFmtId="0" fontId="0" fillId="0" borderId="1" xfId="0" applyFont="1" applyBorder="1"/>
    <xf numFmtId="44" fontId="0" fillId="0" borderId="1" xfId="1" applyFont="1" applyBorder="1"/>
    <xf numFmtId="165" fontId="0" fillId="0" borderId="0" xfId="0" applyNumberFormat="1"/>
    <xf numFmtId="0" fontId="3" fillId="2" borderId="1" xfId="0" applyFont="1" applyFill="1" applyBorder="1" applyAlignment="1">
      <alignment horizontal="center"/>
    </xf>
  </cellXfs>
  <cellStyles count="2">
    <cellStyle name="Currency" xfId="1" builtinId="4"/>
    <cellStyle name="Normal" xfId="0" builtinId="0"/>
  </cellStyles>
  <dxfs count="9">
    <dxf>
      <numFmt numFmtId="0" formatCode="General"/>
    </dxf>
    <dxf>
      <numFmt numFmtId="0" formatCode="General"/>
    </dxf>
    <dxf>
      <numFmt numFmtId="0" formatCode="General"/>
    </dxf>
    <dxf>
      <numFmt numFmtId="0" formatCode="General"/>
    </dxf>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[01_Retail_Data_Cleaning.xlsx]Analayzes_1!PivotTable2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Analayzes_1!$B$3</c:f>
              <c:strCache>
                <c:ptCount val="1"/>
                <c:pt idx="0">
                  <c:v>Total</c:v>
                </c:pt>
              </c:strCache>
            </c:strRef>
          </c:tx>
          <c:spPr>
            <a:solidFill>
              <a:schemeClr val="accent1"/>
            </a:solidFill>
            <a:ln>
              <a:noFill/>
            </a:ln>
            <a:effectLst/>
          </c:spPr>
          <c:invertIfNegative val="0"/>
          <c:cat>
            <c:strRef>
              <c:f>Analayzes_1!$A$4:$A$16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Analayzes_1!$B$4:$B$16</c:f>
              <c:numCache>
                <c:formatCode>"$"#,##0.00</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extLst>
            <c:ext xmlns:c16="http://schemas.microsoft.com/office/drawing/2014/chart" uri="{C3380CC4-5D6E-409C-BE32-E72D297353CC}">
              <c16:uniqueId val="{00000000-CE10-4D5C-A4D6-A1C53D8E4BDD}"/>
            </c:ext>
          </c:extLst>
        </c:ser>
        <c:dLbls>
          <c:showLegendKey val="0"/>
          <c:showVal val="0"/>
          <c:showCatName val="0"/>
          <c:showSerName val="0"/>
          <c:showPercent val="0"/>
          <c:showBubbleSize val="0"/>
        </c:dLbls>
        <c:gapWidth val="219"/>
        <c:overlap val="-27"/>
        <c:axId val="2097414992"/>
        <c:axId val="2097411664"/>
      </c:barChart>
      <c:catAx>
        <c:axId val="209741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11664"/>
        <c:crosses val="autoZero"/>
        <c:auto val="1"/>
        <c:lblAlgn val="ctr"/>
        <c:lblOffset val="100"/>
        <c:noMultiLvlLbl val="0"/>
      </c:catAx>
      <c:valAx>
        <c:axId val="2097411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1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[01_Retail_Data_Cleaning.xlsx]KPI_Pivots!PivotTable5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KPI_Pivots!$B$13</c:f>
              <c:strCache>
                <c:ptCount val="1"/>
                <c:pt idx="0">
                  <c:v>Total</c:v>
                </c:pt>
              </c:strCache>
            </c:strRef>
          </c:tx>
          <c:spPr>
            <a:ln w="28575" cap="rnd">
              <a:solidFill>
                <a:schemeClr val="accent1"/>
              </a:solidFill>
              <a:round/>
            </a:ln>
            <a:effectLst/>
          </c:spPr>
          <c:marker>
            <c:symbol val="none"/>
          </c:marker>
          <c:cat>
            <c:strRef>
              <c:f>KPI_Pivots!$A$14:$A$26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KPI_Pivots!$B$14:$B$26</c:f>
              <c:numCache>
                <c:formatCode>"$"#,##0.00</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74B3-4CA3-AAE8-89D47A034DAF}"/>
            </c:ext>
          </c:extLst>
        </c:ser>
        <c:dLbls>
          <c:showLegendKey val="0"/>
          <c:showVal val="0"/>
          <c:showCatName val="0"/>
          <c:showSerName val="0"/>
          <c:showPercent val="0"/>
          <c:showBubbleSize val="0"/>
        </c:dLbls>
        <c:smooth val="0"/>
        <c:axId val="1317500048"/>
        <c:axId val="1317502960"/>
      </c:lineChart>
      <c:catAx>
        <c:axId val="131750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502960"/>
        <c:crosses val="autoZero"/>
        <c:auto val="1"/>
        <c:lblAlgn val="ctr"/>
        <c:lblOffset val="100"/>
        <c:noMultiLvlLbl val="0"/>
      </c:catAx>
      <c:valAx>
        <c:axId val="1317502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50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438150</xdr:colOff>
      <xdr:row>2</xdr:row>
      <xdr:rowOff>146050</xdr:rowOff>
    </xdr:from>
    <xdr:to>
      <xdr:col>6</xdr:col>
      <xdr:colOff>438150</xdr:colOff>
      <xdr:row>16</xdr:row>
      <xdr:rowOff>92075</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E8E20962-79DE-4B7F-8007-DA900B91A10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225800" y="514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596900</xdr:colOff>
      <xdr:row>3</xdr:row>
      <xdr:rowOff>130175</xdr:rowOff>
    </xdr:from>
    <xdr:to>
      <xdr:col>14</xdr:col>
      <xdr:colOff>292100</xdr:colOff>
      <xdr:row>18</xdr:row>
      <xdr:rowOff>111125</xdr:rowOff>
    </xdr:to>
    <xdr:graphicFrame macro="">
      <xdr:nvGraphicFramePr>
        <xdr:cNvPr id="3" name="Chart 2">
          <a:extLst>
            <a:ext uri="{FF2B5EF4-FFF2-40B4-BE49-F238E27FC236}">
              <a16:creationId xmlns:a16="http://schemas.microsoft.com/office/drawing/2014/main" id="{AC550F6C-2A71-45E6-84B0-993D154E2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215900</xdr:colOff>
      <xdr:row>7</xdr:row>
      <xdr:rowOff>19050</xdr:rowOff>
    </xdr:from>
    <xdr:to>
      <xdr:col>6</xdr:col>
      <xdr:colOff>311150</xdr:colOff>
      <xdr:row>19</xdr:row>
      <xdr:rowOff>44450</xdr:rowOff>
    </xdr:to>
    <xdr:graphicFrame macro="">
      <xdr:nvGraphicFramePr>
        <xdr:cNvPr id="2" name="Chart 1">
          <a:extLst>
            <a:ext uri="{FF2B5EF4-FFF2-40B4-BE49-F238E27FC236}">
              <a16:creationId xmlns:a16="http://schemas.microsoft.com/office/drawing/2014/main" id="{FF01BA3D-9C24-4C3F-95F0-BD6226992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139700</xdr:colOff>
      <xdr:row>7</xdr:row>
      <xdr:rowOff>31751</xdr:rowOff>
    </xdr:from>
    <xdr:to>
      <xdr:col>10</xdr:col>
      <xdr:colOff>139700</xdr:colOff>
      <xdr:row>18</xdr:row>
      <xdr:rowOff>177801</xdr:rowOff>
    </xdr:to>
    <mc:AlternateContent xmlns:mc="http://schemas.openxmlformats.org/markup-compatibility/2006" xmlns:a14="http://schemas.microsoft.com/office/drawing/2010/main">
      <mc:Choice Requires="a14">
        <xdr:graphicFrame macro="">
          <xdr:nvGraphicFramePr>
            <xdr:cNvPr id="3" name="Product Category 1">
              <a:extLst>
                <a:ext uri="{FF2B5EF4-FFF2-40B4-BE49-F238E27FC236}">
                  <a16:creationId xmlns:a16="http://schemas.microsoft.com/office/drawing/2014/main" id="{2E1B255B-118C-4EE9-908E-DB8427953FCA}"/>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5645150" y="1333501"/>
              <a:ext cx="18288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ese Kefale (A)" refreshedDate="46018.916559375" backgroundQuery="1" createdVersion="7" refreshedVersion="7" minRefreshableVersion="3" recordCount="0" supportSubquery="1" supportAdvancedDrill="1" xr:uid="{8203F3A4-3A1D-445E-84A3-08E19F4242B2}">
  <cacheSource type="external" connectionId="2"/>
  <cacheFields count="3">
    <cacheField name="[cleaned_transactions].[Month Name].[Month Name]" caption="Month Name" numFmtId="0" hierarchy="2" level="1">
      <sharedItems count="12">
        <s v="April"/>
        <s v="August"/>
        <s v="December"/>
        <s v="February"/>
        <s v="January"/>
        <s v="July"/>
        <s v="June"/>
        <s v="March"/>
        <s v="May"/>
        <s v="November"/>
        <s v="October"/>
        <s v="September"/>
      </sharedItems>
    </cacheField>
    <cacheField name="[Measures].[Sum of Total Amount]" caption="Sum of Total Amount" numFmtId="0" hierarchy="14" level="32767"/>
    <cacheField name="[cleaned_transactions].[Product Category].[Product Category]" caption="Product Category" numFmtId="0" hierarchy="6" level="1">
      <sharedItems containsSemiMixedTypes="0" containsNonDate="0" containsString="0"/>
    </cacheField>
  </cacheFields>
  <cacheHierarchies count="15">
    <cacheHierarchy uniqueName="[cleaned_transactions].[Transaction ID]" caption="Transaction ID" attribute="1" defaultMemberUniqueName="[cleaned_transactions].[Transaction ID].[All]" allUniqueName="[cleaned_transactions].[Transaction ID].[All]" dimensionUniqueName="[cleaned_transactions]" displayFolder="" count="0" memberValueDatatype="20" unbalanced="0"/>
    <cacheHierarchy uniqueName="[cleaned_transactions].[Date]" caption="Date" attribute="1" time="1" defaultMemberUniqueName="[cleaned_transactions].[Date].[All]" allUniqueName="[cleaned_transactions].[Date].[All]" dimensionUniqueName="[cleaned_transactions]" displayFolder="" count="0" memberValueDatatype="7" unbalanced="0"/>
    <cacheHierarchy uniqueName="[cleaned_transactions].[Month Name]" caption="Month Name" attribute="1" defaultMemberUniqueName="[cleaned_transactions].[Month Name].[All]" allUniqueName="[cleaned_transactions].[Month Name].[All]" dimensionUniqueName="[cleaned_transactions]" displayFolder="" count="2" memberValueDatatype="130" unbalanced="0">
      <fieldsUsage count="2">
        <fieldUsage x="-1"/>
        <fieldUsage x="0"/>
      </fieldsUsage>
    </cacheHierarchy>
    <cacheHierarchy uniqueName="[cleaned_transactions].[Customer ID]" caption="Customer ID" attribute="1" defaultMemberUniqueName="[cleaned_transactions].[Customer ID].[All]" allUniqueName="[cleaned_transactions].[Customer ID].[All]" dimensionUniqueName="[cleaned_transactions]" displayFolder="" count="0" memberValueDatatype="130" unbalanced="0"/>
    <cacheHierarchy uniqueName="[cleaned_transactions].[Gender]" caption="Gender" attribute="1" defaultMemberUniqueName="[cleaned_transactions].[Gender].[All]" allUniqueName="[cleaned_transactions].[Gender].[All]" dimensionUniqueName="[cleaned_transactions]" displayFolder="" count="0" memberValueDatatype="130" unbalanced="0"/>
    <cacheHierarchy uniqueName="[cleaned_transactions].[Age]" caption="Age" attribute="1" defaultMemberUniqueName="[cleaned_transactions].[Age].[All]" allUniqueName="[cleaned_transactions].[Age].[All]" dimensionUniqueName="[cleaned_transactions]" displayFolder="" count="0" memberValueDatatype="20" unbalanced="0"/>
    <cacheHierarchy uniqueName="[cleaned_transactions].[Product Category]" caption="Product Category" attribute="1" defaultMemberUniqueName="[cleaned_transactions].[Product Category].[All]" allUniqueName="[cleaned_transactions].[Product Category].[All]" dimensionUniqueName="[cleaned_transactions]" displayFolder="" count="2" memberValueDatatype="130" unbalanced="0">
      <fieldsUsage count="2">
        <fieldUsage x="-1"/>
        <fieldUsage x="2"/>
      </fieldsUsage>
    </cacheHierarchy>
    <cacheHierarchy uniqueName="[cleaned_transactions].[Quantity Per Product]" caption="Quantity Per Product" attribute="1" defaultMemberUniqueName="[cleaned_transactions].[Quantity Per Product].[All]" allUniqueName="[cleaned_transactions].[Quantity Per Product].[All]" dimensionUniqueName="[cleaned_transactions]" displayFolder="" count="0" memberValueDatatype="20" unbalanced="0"/>
    <cacheHierarchy uniqueName="[cleaned_transactions].[Price per Unit]" caption="Price per Unit" attribute="1" defaultMemberUniqueName="[cleaned_transactions].[Price per Unit].[All]" allUniqueName="[cleaned_transactions].[Price per Unit].[All]" dimensionUniqueName="[cleaned_transactions]" displayFolder="" count="0" memberValueDatatype="20" unbalanced="0"/>
    <cacheHierarchy uniqueName="[cleaned_transactions].[Total Amount]" caption="Total Amount" attribute="1" defaultMemberUniqueName="[cleaned_transactions].[Total Amount].[All]" allUniqueName="[cleaned_transactions].[Total Amount].[All]" dimensionUniqueName="[cleaned_transactions]" displayFolder="" count="0" memberValueDatatype="20" unbalanced="0"/>
    <cacheHierarchy uniqueName="[cleaned_transactions].[Total value validationCustom]" caption="Total value validationCustom" attribute="1" defaultMemberUniqueName="[cleaned_transactions].[Total value validationCustom].[All]" allUniqueName="[cleaned_transactions].[Total value validationCustom].[All]" dimensionUniqueName="[cleaned_transactions]" displayFolder="" count="0" memberValueDatatype="20" unbalanced="0"/>
    <cacheHierarchy uniqueName="[cleaned_transactions].[Date - Copy]" caption="Date - Copy" attribute="1" defaultMemberUniqueName="[cleaned_transactions].[Date - Copy].[All]" allUniqueName="[cleaned_transactions].[Date - Copy].[All]" dimensionUniqueName="[cleaned_transactions]" displayFolder="" count="0" memberValueDatatype="20" unbalanced="0"/>
    <cacheHierarchy uniqueName="[Measures].[__XL_Count cleaned_transactions]" caption="__XL_Count cleaned_transactions" measure="1" displayFolder="" measureGroup="cleaned_transactions" count="0" hidden="1"/>
    <cacheHierarchy uniqueName="[Measures].[__No measures defined]" caption="__No measures defined" measure="1" displayFolder="" count="0" hidden="1"/>
    <cacheHierarchy uniqueName="[Measures].[Sum of Total Amount]" caption="Sum of Total Amount" measure="1" displayFolder="" measureGroup="cleaned_transactions"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name="cleaned_transactions" uniqueName="[cleaned_transactions]" caption="cleaned_transactions"/>
    <dimension measure="1" name="Measures" uniqueName="[Measures]" caption="Measures"/>
  </dimensions>
  <measureGroups count="1">
    <measureGroup name="cleaned_transactions" caption="cleaned_transaction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ese Kefale (A)" refreshedDate="46018.916562384256" backgroundQuery="1" createdVersion="7" refreshedVersion="7" minRefreshableVersion="3" recordCount="0" supportSubquery="1" supportAdvancedDrill="1" xr:uid="{E473E881-56B7-49F1-8918-50F1E2A54585}">
  <cacheSource type="external" connectionId="2"/>
  <cacheFields count="2">
    <cacheField name="[cleaned_transactions].[Product Category].[Product Category]" caption="Product Category" numFmtId="0" hierarchy="6" level="1">
      <sharedItems count="3">
        <s v="Beauty"/>
        <s v="Clothing"/>
        <s v="Electronics"/>
      </sharedItems>
    </cacheField>
    <cacheField name="[Measures].[Sum of Total Amount]" caption="Sum of Total Amount" numFmtId="0" hierarchy="14" level="32767"/>
  </cacheFields>
  <cacheHierarchies count="15">
    <cacheHierarchy uniqueName="[cleaned_transactions].[Transaction ID]" caption="Transaction ID" attribute="1" defaultMemberUniqueName="[cleaned_transactions].[Transaction ID].[All]" allUniqueName="[cleaned_transactions].[Transaction ID].[All]" dimensionUniqueName="[cleaned_transactions]" displayFolder="" count="0" memberValueDatatype="20" unbalanced="0"/>
    <cacheHierarchy uniqueName="[cleaned_transactions].[Date]" caption="Date" attribute="1" time="1" defaultMemberUniqueName="[cleaned_transactions].[Date].[All]" allUniqueName="[cleaned_transactions].[Date].[All]" dimensionUniqueName="[cleaned_transactions]" displayFolder="" count="0" memberValueDatatype="7" unbalanced="0"/>
    <cacheHierarchy uniqueName="[cleaned_transactions].[Month Name]" caption="Month Name" attribute="1" defaultMemberUniqueName="[cleaned_transactions].[Month Name].[All]" allUniqueName="[cleaned_transactions].[Month Name].[All]" dimensionUniqueName="[cleaned_transactions]" displayFolder="" count="0" memberValueDatatype="130" unbalanced="0"/>
    <cacheHierarchy uniqueName="[cleaned_transactions].[Customer ID]" caption="Customer ID" attribute="1" defaultMemberUniqueName="[cleaned_transactions].[Customer ID].[All]" allUniqueName="[cleaned_transactions].[Customer ID].[All]" dimensionUniqueName="[cleaned_transactions]" displayFolder="" count="0" memberValueDatatype="130" unbalanced="0"/>
    <cacheHierarchy uniqueName="[cleaned_transactions].[Gender]" caption="Gender" attribute="1" defaultMemberUniqueName="[cleaned_transactions].[Gender].[All]" allUniqueName="[cleaned_transactions].[Gender].[All]" dimensionUniqueName="[cleaned_transactions]" displayFolder="" count="0" memberValueDatatype="130" unbalanced="0"/>
    <cacheHierarchy uniqueName="[cleaned_transactions].[Age]" caption="Age" attribute="1" defaultMemberUniqueName="[cleaned_transactions].[Age].[All]" allUniqueName="[cleaned_transactions].[Age].[All]" dimensionUniqueName="[cleaned_transactions]" displayFolder="" count="0" memberValueDatatype="20" unbalanced="0"/>
    <cacheHierarchy uniqueName="[cleaned_transactions].[Product Category]" caption="Product Category" attribute="1" defaultMemberUniqueName="[cleaned_transactions].[Product Category].[All]" allUniqueName="[cleaned_transactions].[Product Category].[All]" dimensionUniqueName="[cleaned_transactions]" displayFolder="" count="2" memberValueDatatype="130" unbalanced="0">
      <fieldsUsage count="2">
        <fieldUsage x="-1"/>
        <fieldUsage x="0"/>
      </fieldsUsage>
    </cacheHierarchy>
    <cacheHierarchy uniqueName="[cleaned_transactions].[Quantity Per Product]" caption="Quantity Per Product" attribute="1" defaultMemberUniqueName="[cleaned_transactions].[Quantity Per Product].[All]" allUniqueName="[cleaned_transactions].[Quantity Per Product].[All]" dimensionUniqueName="[cleaned_transactions]" displayFolder="" count="0" memberValueDatatype="20" unbalanced="0"/>
    <cacheHierarchy uniqueName="[cleaned_transactions].[Price per Unit]" caption="Price per Unit" attribute="1" defaultMemberUniqueName="[cleaned_transactions].[Price per Unit].[All]" allUniqueName="[cleaned_transactions].[Price per Unit].[All]" dimensionUniqueName="[cleaned_transactions]" displayFolder="" count="0" memberValueDatatype="20" unbalanced="0"/>
    <cacheHierarchy uniqueName="[cleaned_transactions].[Total Amount]" caption="Total Amount" attribute="1" defaultMemberUniqueName="[cleaned_transactions].[Total Amount].[All]" allUniqueName="[cleaned_transactions].[Total Amount].[All]" dimensionUniqueName="[cleaned_transactions]" displayFolder="" count="0" memberValueDatatype="20" unbalanced="0"/>
    <cacheHierarchy uniqueName="[cleaned_transactions].[Total value validationCustom]" caption="Total value validationCustom" attribute="1" defaultMemberUniqueName="[cleaned_transactions].[Total value validationCustom].[All]" allUniqueName="[cleaned_transactions].[Total value validationCustom].[All]" dimensionUniqueName="[cleaned_transactions]" displayFolder="" count="0" memberValueDatatype="20" unbalanced="0"/>
    <cacheHierarchy uniqueName="[cleaned_transactions].[Date - Copy]" caption="Date - Copy" attribute="1" defaultMemberUniqueName="[cleaned_transactions].[Date - Copy].[All]" allUniqueName="[cleaned_transactions].[Date - Copy].[All]" dimensionUniqueName="[cleaned_transactions]" displayFolder="" count="0" memberValueDatatype="20" unbalanced="0"/>
    <cacheHierarchy uniqueName="[Measures].[__XL_Count cleaned_transactions]" caption="__XL_Count cleaned_transactions" measure="1" displayFolder="" measureGroup="cleaned_transactions" count="0" hidden="1"/>
    <cacheHierarchy uniqueName="[Measures].[__No measures defined]" caption="__No measures defined" measure="1" displayFolder="" count="0" hidden="1"/>
    <cacheHierarchy uniqueName="[Measures].[Sum of Total Amount]" caption="Sum of Total Amount" measure="1" displayFolder="" measureGroup="cleaned_transactions"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name="cleaned_transactions" uniqueName="[cleaned_transactions]" caption="cleaned_transactions"/>
    <dimension measure="1" name="Measures" uniqueName="[Measures]" caption="Measures"/>
  </dimensions>
  <measureGroups count="1">
    <measureGroup name="cleaned_transactions" caption="cleaned_transaction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ese Kefale (A)" refreshedDate="46018.916563194442" createdVersion="7" refreshedVersion="7" minRefreshableVersion="3" recordCount="1000" xr:uid="{B600E8FB-ECB9-43FD-8EBE-3198579CEC69}">
  <cacheSource type="worksheet">
    <worksheetSource name="cleaned_transactions"/>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Month Name" numFmtId="0">
      <sharedItems count="12">
        <s v="November"/>
        <s v="February"/>
        <s v="January"/>
        <s v="May"/>
        <s v="April"/>
        <s v="March"/>
        <s v="December"/>
        <s v="October"/>
        <s v="August"/>
        <s v="September"/>
        <s v="June"/>
        <s v="July"/>
      </sharedItems>
    </cacheField>
    <cacheField name="Customer ID" numFmtId="0">
      <sharedItems/>
    </cacheField>
    <cacheField name="Gender" numFmtId="0">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Per Product"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Total value validationCustom" numFmtId="0">
      <sharedItems containsSemiMixedTypes="0" containsString="0" containsNumber="1" containsInteger="1" minValue="25" maxValue="2000"/>
    </cacheField>
    <cacheField name="Date - Copy" numFmtId="0">
      <sharedItems containsSemiMixedTypes="0" containsString="0" containsNumber="1" containsInteger="1" minValue="2023" maxValue="2024"/>
    </cacheField>
  </cacheFields>
  <extLst>
    <ext xmlns:x14="http://schemas.microsoft.com/office/spreadsheetml/2009/9/main" uri="{725AE2AE-9491-48be-B2B4-4EB974FC3084}">
      <x14:pivotCacheDefinition pivotCacheId="213050503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ese Kefale (A)" refreshedDate="46018.91655671296" backgroundQuery="1" createdVersion="3" refreshedVersion="7" minRefreshableVersion="3" recordCount="0" supportSubquery="1" supportAdvancedDrill="1" xr:uid="{1D07267D-CD93-4D19-9990-D5FDDAEC20CF}">
  <cacheSource type="external" connectionId="2">
    <extLst>
      <ext xmlns:x14="http://schemas.microsoft.com/office/spreadsheetml/2009/9/main" uri="{F057638F-6D5F-4e77-A914-E7F072B9BCA8}">
        <x14:sourceConnection name="ThisWorkbookDataModel"/>
      </ext>
    </extLst>
  </cacheSource>
  <cacheFields count="0"/>
  <cacheHierarchies count="15">
    <cacheHierarchy uniqueName="[cleaned_transactions].[Transaction ID]" caption="Transaction ID" attribute="1" defaultMemberUniqueName="[cleaned_transactions].[Transaction ID].[All]" allUniqueName="[cleaned_transactions].[Transaction ID].[All]" dimensionUniqueName="[cleaned_transactions]" displayFolder="" count="0" memberValueDatatype="20" unbalanced="0"/>
    <cacheHierarchy uniqueName="[cleaned_transactions].[Date]" caption="Date" attribute="1" time="1" defaultMemberUniqueName="[cleaned_transactions].[Date].[All]" allUniqueName="[cleaned_transactions].[Date].[All]" dimensionUniqueName="[cleaned_transactions]" displayFolder="" count="0" memberValueDatatype="7" unbalanced="0"/>
    <cacheHierarchy uniqueName="[cleaned_transactions].[Month Name]" caption="Month Name" attribute="1" defaultMemberUniqueName="[cleaned_transactions].[Month Name].[All]" allUniqueName="[cleaned_transactions].[Month Name].[All]" dimensionUniqueName="[cleaned_transactions]" displayFolder="" count="0" memberValueDatatype="130" unbalanced="0"/>
    <cacheHierarchy uniqueName="[cleaned_transactions].[Customer ID]" caption="Customer ID" attribute="1" defaultMemberUniqueName="[cleaned_transactions].[Customer ID].[All]" allUniqueName="[cleaned_transactions].[Customer ID].[All]" dimensionUniqueName="[cleaned_transactions]" displayFolder="" count="0" memberValueDatatype="130" unbalanced="0"/>
    <cacheHierarchy uniqueName="[cleaned_transactions].[Gender]" caption="Gender" attribute="1" defaultMemberUniqueName="[cleaned_transactions].[Gender].[All]" allUniqueName="[cleaned_transactions].[Gender].[All]" dimensionUniqueName="[cleaned_transactions]" displayFolder="" count="0" memberValueDatatype="130" unbalanced="0"/>
    <cacheHierarchy uniqueName="[cleaned_transactions].[Age]" caption="Age" attribute="1" defaultMemberUniqueName="[cleaned_transactions].[Age].[All]" allUniqueName="[cleaned_transactions].[Age].[All]" dimensionUniqueName="[cleaned_transactions]" displayFolder="" count="0" memberValueDatatype="20" unbalanced="0"/>
    <cacheHierarchy uniqueName="[cleaned_transactions].[Product Category]" caption="Product Category" attribute="1" defaultMemberUniqueName="[cleaned_transactions].[Product Category].[All]" allUniqueName="[cleaned_transactions].[Product Category].[All]" dimensionUniqueName="[cleaned_transactions]" displayFolder="" count="2" memberValueDatatype="130" unbalanced="0"/>
    <cacheHierarchy uniqueName="[cleaned_transactions].[Quantity Per Product]" caption="Quantity Per Product" attribute="1" defaultMemberUniqueName="[cleaned_transactions].[Quantity Per Product].[All]" allUniqueName="[cleaned_transactions].[Quantity Per Product].[All]" dimensionUniqueName="[cleaned_transactions]" displayFolder="" count="0" memberValueDatatype="20" unbalanced="0"/>
    <cacheHierarchy uniqueName="[cleaned_transactions].[Price per Unit]" caption="Price per Unit" attribute="1" defaultMemberUniqueName="[cleaned_transactions].[Price per Unit].[All]" allUniqueName="[cleaned_transactions].[Price per Unit].[All]" dimensionUniqueName="[cleaned_transactions]" displayFolder="" count="0" memberValueDatatype="20" unbalanced="0"/>
    <cacheHierarchy uniqueName="[cleaned_transactions].[Total Amount]" caption="Total Amount" attribute="1" defaultMemberUniqueName="[cleaned_transactions].[Total Amount].[All]" allUniqueName="[cleaned_transactions].[Total Amount].[All]" dimensionUniqueName="[cleaned_transactions]" displayFolder="" count="0" memberValueDatatype="20" unbalanced="0"/>
    <cacheHierarchy uniqueName="[cleaned_transactions].[Total value validationCustom]" caption="Total value validationCustom" attribute="1" defaultMemberUniqueName="[cleaned_transactions].[Total value validationCustom].[All]" allUniqueName="[cleaned_transactions].[Total value validationCustom].[All]" dimensionUniqueName="[cleaned_transactions]" displayFolder="" count="0" memberValueDatatype="20" unbalanced="0"/>
    <cacheHierarchy uniqueName="[cleaned_transactions].[Date - Copy]" caption="Date - Copy" attribute="1" defaultMemberUniqueName="[cleaned_transactions].[Date - Copy].[All]" allUniqueName="[cleaned_transactions].[Date - Copy].[All]" dimensionUniqueName="[cleaned_transactions]" displayFolder="" count="0" memberValueDatatype="20" unbalanced="0"/>
    <cacheHierarchy uniqueName="[Measures].[__XL_Count cleaned_transactions]" caption="__XL_Count cleaned_transactions" measure="1" displayFolder="" measureGroup="cleaned_transactions" count="0" hidden="1"/>
    <cacheHierarchy uniqueName="[Measures].[__No measures defined]" caption="__No measures defined" measure="1" displayFolder="" count="0" hidden="1"/>
    <cacheHierarchy uniqueName="[Measures].[Sum of Total Amount]" caption="Sum of Total Amount" measure="1" displayFolder="" measureGroup="cleaned_transaction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5888157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x v="0"/>
    <s v="CUST001"/>
    <s v="Male"/>
    <n v="34"/>
    <x v="0"/>
    <n v="3"/>
    <n v="50"/>
    <n v="150"/>
    <n v="150"/>
    <n v="2023"/>
  </r>
  <r>
    <n v="2"/>
    <d v="2023-02-27T00:00:00"/>
    <x v="1"/>
    <s v="CUST002"/>
    <s v="Female"/>
    <n v="26"/>
    <x v="1"/>
    <n v="2"/>
    <n v="500"/>
    <n v="1000"/>
    <n v="1000"/>
    <n v="2023"/>
  </r>
  <r>
    <n v="3"/>
    <d v="2023-01-13T00:00:00"/>
    <x v="2"/>
    <s v="CUST003"/>
    <s v="Male"/>
    <n v="50"/>
    <x v="2"/>
    <n v="1"/>
    <n v="30"/>
    <n v="30"/>
    <n v="30"/>
    <n v="2023"/>
  </r>
  <r>
    <n v="4"/>
    <d v="2023-05-21T00:00:00"/>
    <x v="3"/>
    <s v="CUST004"/>
    <s v="Male"/>
    <n v="37"/>
    <x v="1"/>
    <n v="1"/>
    <n v="500"/>
    <n v="500"/>
    <n v="500"/>
    <n v="2023"/>
  </r>
  <r>
    <n v="5"/>
    <d v="2023-05-06T00:00:00"/>
    <x v="3"/>
    <s v="CUST005"/>
    <s v="Male"/>
    <n v="30"/>
    <x v="0"/>
    <n v="2"/>
    <n v="50"/>
    <n v="100"/>
    <n v="100"/>
    <n v="2023"/>
  </r>
  <r>
    <n v="6"/>
    <d v="2023-04-25T00:00:00"/>
    <x v="4"/>
    <s v="CUST006"/>
    <s v="Female"/>
    <n v="45"/>
    <x v="0"/>
    <n v="1"/>
    <n v="30"/>
    <n v="30"/>
    <n v="30"/>
    <n v="2023"/>
  </r>
  <r>
    <n v="7"/>
    <d v="2023-03-13T00:00:00"/>
    <x v="5"/>
    <s v="CUST007"/>
    <s v="Male"/>
    <n v="46"/>
    <x v="1"/>
    <n v="2"/>
    <n v="25"/>
    <n v="50"/>
    <n v="50"/>
    <n v="2023"/>
  </r>
  <r>
    <n v="8"/>
    <d v="2023-02-22T00:00:00"/>
    <x v="1"/>
    <s v="CUST008"/>
    <s v="Male"/>
    <n v="30"/>
    <x v="2"/>
    <n v="4"/>
    <n v="25"/>
    <n v="100"/>
    <n v="100"/>
    <n v="2023"/>
  </r>
  <r>
    <n v="9"/>
    <d v="2023-12-13T00:00:00"/>
    <x v="6"/>
    <s v="CUST009"/>
    <s v="Male"/>
    <n v="63"/>
    <x v="2"/>
    <n v="2"/>
    <n v="300"/>
    <n v="600"/>
    <n v="600"/>
    <n v="2023"/>
  </r>
  <r>
    <n v="10"/>
    <d v="2023-10-07T00:00:00"/>
    <x v="7"/>
    <s v="CUST010"/>
    <s v="Female"/>
    <n v="52"/>
    <x v="1"/>
    <n v="4"/>
    <n v="50"/>
    <n v="200"/>
    <n v="200"/>
    <n v="2023"/>
  </r>
  <r>
    <n v="11"/>
    <d v="2023-02-14T00:00:00"/>
    <x v="1"/>
    <s v="CUST011"/>
    <s v="Male"/>
    <n v="23"/>
    <x v="1"/>
    <n v="2"/>
    <n v="50"/>
    <n v="100"/>
    <n v="100"/>
    <n v="2023"/>
  </r>
  <r>
    <n v="12"/>
    <d v="2023-10-30T00:00:00"/>
    <x v="7"/>
    <s v="CUST012"/>
    <s v="Male"/>
    <n v="35"/>
    <x v="0"/>
    <n v="3"/>
    <n v="25"/>
    <n v="75"/>
    <n v="75"/>
    <n v="2023"/>
  </r>
  <r>
    <n v="13"/>
    <d v="2023-08-05T00:00:00"/>
    <x v="8"/>
    <s v="CUST013"/>
    <s v="Male"/>
    <n v="22"/>
    <x v="2"/>
    <n v="3"/>
    <n v="500"/>
    <n v="1500"/>
    <n v="1500"/>
    <n v="2023"/>
  </r>
  <r>
    <n v="14"/>
    <d v="2023-01-17T00:00:00"/>
    <x v="2"/>
    <s v="CUST014"/>
    <s v="Male"/>
    <n v="64"/>
    <x v="1"/>
    <n v="4"/>
    <n v="30"/>
    <n v="120"/>
    <n v="120"/>
    <n v="2023"/>
  </r>
  <r>
    <n v="15"/>
    <d v="2023-01-16T00:00:00"/>
    <x v="2"/>
    <s v="CUST015"/>
    <s v="Female"/>
    <n v="42"/>
    <x v="2"/>
    <n v="4"/>
    <n v="500"/>
    <n v="2000"/>
    <n v="2000"/>
    <n v="2023"/>
  </r>
  <r>
    <n v="16"/>
    <d v="2023-02-17T00:00:00"/>
    <x v="1"/>
    <s v="CUST016"/>
    <s v="Male"/>
    <n v="19"/>
    <x v="1"/>
    <n v="3"/>
    <n v="500"/>
    <n v="1500"/>
    <n v="1500"/>
    <n v="2023"/>
  </r>
  <r>
    <n v="17"/>
    <d v="2023-04-22T00:00:00"/>
    <x v="4"/>
    <s v="CUST017"/>
    <s v="Female"/>
    <n v="27"/>
    <x v="1"/>
    <n v="4"/>
    <n v="25"/>
    <n v="100"/>
    <n v="100"/>
    <n v="2023"/>
  </r>
  <r>
    <n v="18"/>
    <d v="2023-04-30T00:00:00"/>
    <x v="4"/>
    <s v="CUST018"/>
    <s v="Female"/>
    <n v="47"/>
    <x v="2"/>
    <n v="2"/>
    <n v="25"/>
    <n v="50"/>
    <n v="50"/>
    <n v="2023"/>
  </r>
  <r>
    <n v="19"/>
    <d v="2023-09-16T00:00:00"/>
    <x v="9"/>
    <s v="CUST019"/>
    <s v="Female"/>
    <n v="62"/>
    <x v="1"/>
    <n v="2"/>
    <n v="25"/>
    <n v="50"/>
    <n v="50"/>
    <n v="2023"/>
  </r>
  <r>
    <n v="20"/>
    <d v="2023-11-05T00:00:00"/>
    <x v="0"/>
    <s v="CUST020"/>
    <s v="Male"/>
    <n v="22"/>
    <x v="1"/>
    <n v="3"/>
    <n v="300"/>
    <n v="900"/>
    <n v="900"/>
    <n v="2023"/>
  </r>
  <r>
    <n v="21"/>
    <d v="2023-01-14T00:00:00"/>
    <x v="2"/>
    <s v="CUST021"/>
    <s v="Female"/>
    <n v="50"/>
    <x v="0"/>
    <n v="1"/>
    <n v="500"/>
    <n v="500"/>
    <n v="500"/>
    <n v="2023"/>
  </r>
  <r>
    <n v="22"/>
    <d v="2023-10-15T00:00:00"/>
    <x v="7"/>
    <s v="CUST022"/>
    <s v="Male"/>
    <n v="18"/>
    <x v="1"/>
    <n v="2"/>
    <n v="50"/>
    <n v="100"/>
    <n v="100"/>
    <n v="2023"/>
  </r>
  <r>
    <n v="23"/>
    <d v="2023-04-12T00:00:00"/>
    <x v="4"/>
    <s v="CUST023"/>
    <s v="Female"/>
    <n v="35"/>
    <x v="1"/>
    <n v="4"/>
    <n v="30"/>
    <n v="120"/>
    <n v="120"/>
    <n v="2023"/>
  </r>
  <r>
    <n v="24"/>
    <d v="2023-11-29T00:00:00"/>
    <x v="0"/>
    <s v="CUST024"/>
    <s v="Female"/>
    <n v="49"/>
    <x v="1"/>
    <n v="1"/>
    <n v="300"/>
    <n v="300"/>
    <n v="300"/>
    <n v="2023"/>
  </r>
  <r>
    <n v="25"/>
    <d v="2023-12-26T00:00:00"/>
    <x v="6"/>
    <s v="CUST025"/>
    <s v="Female"/>
    <n v="64"/>
    <x v="0"/>
    <n v="1"/>
    <n v="50"/>
    <n v="50"/>
    <n v="50"/>
    <n v="2023"/>
  </r>
  <r>
    <n v="26"/>
    <d v="2023-10-07T00:00:00"/>
    <x v="7"/>
    <s v="CUST026"/>
    <s v="Female"/>
    <n v="28"/>
    <x v="2"/>
    <n v="2"/>
    <n v="500"/>
    <n v="1000"/>
    <n v="1000"/>
    <n v="2023"/>
  </r>
  <r>
    <n v="27"/>
    <d v="2023-08-03T00:00:00"/>
    <x v="8"/>
    <s v="CUST027"/>
    <s v="Female"/>
    <n v="38"/>
    <x v="0"/>
    <n v="2"/>
    <n v="25"/>
    <n v="50"/>
    <n v="50"/>
    <n v="2023"/>
  </r>
  <r>
    <n v="28"/>
    <d v="2023-04-23T00:00:00"/>
    <x v="4"/>
    <s v="CUST028"/>
    <s v="Female"/>
    <n v="43"/>
    <x v="0"/>
    <n v="1"/>
    <n v="500"/>
    <n v="500"/>
    <n v="500"/>
    <n v="2023"/>
  </r>
  <r>
    <n v="29"/>
    <d v="2023-08-18T00:00:00"/>
    <x v="8"/>
    <s v="CUST029"/>
    <s v="Female"/>
    <n v="42"/>
    <x v="2"/>
    <n v="1"/>
    <n v="30"/>
    <n v="30"/>
    <n v="30"/>
    <n v="2023"/>
  </r>
  <r>
    <n v="30"/>
    <d v="2023-10-29T00:00:00"/>
    <x v="7"/>
    <s v="CUST030"/>
    <s v="Female"/>
    <n v="39"/>
    <x v="0"/>
    <n v="3"/>
    <n v="300"/>
    <n v="900"/>
    <n v="900"/>
    <n v="2023"/>
  </r>
  <r>
    <n v="31"/>
    <d v="2023-05-23T00:00:00"/>
    <x v="3"/>
    <s v="CUST031"/>
    <s v="Male"/>
    <n v="44"/>
    <x v="2"/>
    <n v="4"/>
    <n v="300"/>
    <n v="1200"/>
    <n v="1200"/>
    <n v="2023"/>
  </r>
  <r>
    <n v="32"/>
    <d v="2023-01-04T00:00:00"/>
    <x v="2"/>
    <s v="CUST032"/>
    <s v="Male"/>
    <n v="30"/>
    <x v="0"/>
    <n v="3"/>
    <n v="30"/>
    <n v="90"/>
    <n v="90"/>
    <n v="2023"/>
  </r>
  <r>
    <n v="33"/>
    <d v="2023-03-23T00:00:00"/>
    <x v="5"/>
    <s v="CUST033"/>
    <s v="Female"/>
    <n v="50"/>
    <x v="2"/>
    <n v="2"/>
    <n v="50"/>
    <n v="100"/>
    <n v="100"/>
    <n v="2023"/>
  </r>
  <r>
    <n v="34"/>
    <d v="2023-12-24T00:00:00"/>
    <x v="6"/>
    <s v="CUST034"/>
    <s v="Female"/>
    <n v="51"/>
    <x v="1"/>
    <n v="3"/>
    <n v="50"/>
    <n v="150"/>
    <n v="150"/>
    <n v="2023"/>
  </r>
  <r>
    <n v="35"/>
    <d v="2023-08-05T00:00:00"/>
    <x v="8"/>
    <s v="CUST035"/>
    <s v="Female"/>
    <n v="58"/>
    <x v="0"/>
    <n v="3"/>
    <n v="300"/>
    <n v="900"/>
    <n v="900"/>
    <n v="2023"/>
  </r>
  <r>
    <n v="36"/>
    <d v="2023-06-24T00:00:00"/>
    <x v="10"/>
    <s v="CUST036"/>
    <s v="Male"/>
    <n v="52"/>
    <x v="0"/>
    <n v="3"/>
    <n v="300"/>
    <n v="900"/>
    <n v="900"/>
    <n v="2023"/>
  </r>
  <r>
    <n v="37"/>
    <d v="2023-05-23T00:00:00"/>
    <x v="3"/>
    <s v="CUST037"/>
    <s v="Female"/>
    <n v="18"/>
    <x v="0"/>
    <n v="3"/>
    <n v="25"/>
    <n v="75"/>
    <n v="75"/>
    <n v="2023"/>
  </r>
  <r>
    <n v="38"/>
    <d v="2023-03-21T00:00:00"/>
    <x v="5"/>
    <s v="CUST038"/>
    <s v="Male"/>
    <n v="38"/>
    <x v="0"/>
    <n v="4"/>
    <n v="50"/>
    <n v="200"/>
    <n v="200"/>
    <n v="2023"/>
  </r>
  <r>
    <n v="39"/>
    <d v="2023-04-21T00:00:00"/>
    <x v="4"/>
    <s v="CUST039"/>
    <s v="Male"/>
    <n v="23"/>
    <x v="1"/>
    <n v="4"/>
    <n v="30"/>
    <n v="120"/>
    <n v="120"/>
    <n v="2023"/>
  </r>
  <r>
    <n v="40"/>
    <d v="2023-06-22T00:00:00"/>
    <x v="10"/>
    <s v="CUST040"/>
    <s v="Male"/>
    <n v="45"/>
    <x v="0"/>
    <n v="1"/>
    <n v="50"/>
    <n v="50"/>
    <n v="50"/>
    <n v="2023"/>
  </r>
  <r>
    <n v="41"/>
    <d v="2023-02-22T00:00:00"/>
    <x v="1"/>
    <s v="CUST041"/>
    <s v="Male"/>
    <n v="34"/>
    <x v="1"/>
    <n v="2"/>
    <n v="25"/>
    <n v="50"/>
    <n v="50"/>
    <n v="2023"/>
  </r>
  <r>
    <n v="42"/>
    <d v="2023-02-17T00:00:00"/>
    <x v="1"/>
    <s v="CUST042"/>
    <s v="Male"/>
    <n v="22"/>
    <x v="1"/>
    <n v="3"/>
    <n v="300"/>
    <n v="900"/>
    <n v="900"/>
    <n v="2023"/>
  </r>
  <r>
    <n v="43"/>
    <d v="2023-07-14T00:00:00"/>
    <x v="11"/>
    <s v="CUST043"/>
    <s v="Female"/>
    <n v="48"/>
    <x v="1"/>
    <n v="1"/>
    <n v="300"/>
    <n v="300"/>
    <n v="300"/>
    <n v="2023"/>
  </r>
  <r>
    <n v="44"/>
    <d v="2023-02-19T00:00:00"/>
    <x v="1"/>
    <s v="CUST044"/>
    <s v="Female"/>
    <n v="22"/>
    <x v="1"/>
    <n v="1"/>
    <n v="25"/>
    <n v="25"/>
    <n v="25"/>
    <n v="2023"/>
  </r>
  <r>
    <n v="45"/>
    <d v="2023-07-03T00:00:00"/>
    <x v="11"/>
    <s v="CUST045"/>
    <s v="Female"/>
    <n v="55"/>
    <x v="2"/>
    <n v="1"/>
    <n v="30"/>
    <n v="30"/>
    <n v="30"/>
    <n v="2023"/>
  </r>
  <r>
    <n v="46"/>
    <d v="2023-06-26T00:00:00"/>
    <x v="10"/>
    <s v="CUST046"/>
    <s v="Female"/>
    <n v="20"/>
    <x v="2"/>
    <n v="4"/>
    <n v="300"/>
    <n v="1200"/>
    <n v="1200"/>
    <n v="2023"/>
  </r>
  <r>
    <n v="47"/>
    <d v="2023-11-06T00:00:00"/>
    <x v="0"/>
    <s v="CUST047"/>
    <s v="Female"/>
    <n v="40"/>
    <x v="0"/>
    <n v="3"/>
    <n v="500"/>
    <n v="1500"/>
    <n v="1500"/>
    <n v="2023"/>
  </r>
  <r>
    <n v="48"/>
    <d v="2023-05-16T00:00:00"/>
    <x v="3"/>
    <s v="CUST048"/>
    <s v="Male"/>
    <n v="54"/>
    <x v="2"/>
    <n v="3"/>
    <n v="300"/>
    <n v="900"/>
    <n v="900"/>
    <n v="2023"/>
  </r>
  <r>
    <n v="49"/>
    <d v="2023-01-23T00:00:00"/>
    <x v="2"/>
    <s v="CUST049"/>
    <s v="Female"/>
    <n v="54"/>
    <x v="2"/>
    <n v="2"/>
    <n v="500"/>
    <n v="1000"/>
    <n v="1000"/>
    <n v="2023"/>
  </r>
  <r>
    <n v="50"/>
    <d v="2023-08-24T00:00:00"/>
    <x v="8"/>
    <s v="CUST050"/>
    <s v="Female"/>
    <n v="27"/>
    <x v="0"/>
    <n v="3"/>
    <n v="25"/>
    <n v="75"/>
    <n v="75"/>
    <n v="2023"/>
  </r>
  <r>
    <n v="51"/>
    <d v="2023-10-02T00:00:00"/>
    <x v="7"/>
    <s v="CUST051"/>
    <s v="Male"/>
    <n v="27"/>
    <x v="0"/>
    <n v="3"/>
    <n v="25"/>
    <n v="75"/>
    <n v="75"/>
    <n v="2023"/>
  </r>
  <r>
    <n v="52"/>
    <d v="2023-03-05T00:00:00"/>
    <x v="5"/>
    <s v="CUST052"/>
    <s v="Female"/>
    <n v="36"/>
    <x v="0"/>
    <n v="1"/>
    <n v="300"/>
    <n v="300"/>
    <n v="300"/>
    <n v="2023"/>
  </r>
  <r>
    <n v="53"/>
    <d v="2023-07-13T00:00:00"/>
    <x v="11"/>
    <s v="CUST053"/>
    <s v="Male"/>
    <n v="34"/>
    <x v="2"/>
    <n v="2"/>
    <n v="50"/>
    <n v="100"/>
    <n v="100"/>
    <n v="2023"/>
  </r>
  <r>
    <n v="54"/>
    <d v="2023-02-10T00:00:00"/>
    <x v="1"/>
    <s v="CUST054"/>
    <s v="Female"/>
    <n v="38"/>
    <x v="2"/>
    <n v="3"/>
    <n v="500"/>
    <n v="1500"/>
    <n v="1500"/>
    <n v="2023"/>
  </r>
  <r>
    <n v="55"/>
    <d v="2023-10-10T00:00:00"/>
    <x v="7"/>
    <s v="CUST055"/>
    <s v="Male"/>
    <n v="31"/>
    <x v="0"/>
    <n v="4"/>
    <n v="30"/>
    <n v="120"/>
    <n v="120"/>
    <n v="2023"/>
  </r>
  <r>
    <n v="56"/>
    <d v="2023-05-31T00:00:00"/>
    <x v="3"/>
    <s v="CUST056"/>
    <s v="Female"/>
    <n v="26"/>
    <x v="1"/>
    <n v="3"/>
    <n v="300"/>
    <n v="900"/>
    <n v="900"/>
    <n v="2023"/>
  </r>
  <r>
    <n v="57"/>
    <d v="2023-11-18T00:00:00"/>
    <x v="0"/>
    <s v="CUST057"/>
    <s v="Female"/>
    <n v="63"/>
    <x v="0"/>
    <n v="1"/>
    <n v="30"/>
    <n v="30"/>
    <n v="30"/>
    <n v="2023"/>
  </r>
  <r>
    <n v="58"/>
    <d v="2023-11-13T00:00:00"/>
    <x v="0"/>
    <s v="CUST058"/>
    <s v="Male"/>
    <n v="18"/>
    <x v="1"/>
    <n v="4"/>
    <n v="300"/>
    <n v="1200"/>
    <n v="1200"/>
    <n v="2023"/>
  </r>
  <r>
    <n v="59"/>
    <d v="2023-07-05T00:00:00"/>
    <x v="11"/>
    <s v="CUST059"/>
    <s v="Male"/>
    <n v="62"/>
    <x v="1"/>
    <n v="1"/>
    <n v="50"/>
    <n v="50"/>
    <n v="50"/>
    <n v="2023"/>
  </r>
  <r>
    <n v="60"/>
    <d v="2023-10-23T00:00:00"/>
    <x v="7"/>
    <s v="CUST060"/>
    <s v="Male"/>
    <n v="30"/>
    <x v="0"/>
    <n v="3"/>
    <n v="50"/>
    <n v="150"/>
    <n v="150"/>
    <n v="2023"/>
  </r>
  <r>
    <n v="61"/>
    <d v="2023-04-09T00:00:00"/>
    <x v="4"/>
    <s v="CUST061"/>
    <s v="Male"/>
    <n v="21"/>
    <x v="0"/>
    <n v="4"/>
    <n v="50"/>
    <n v="200"/>
    <n v="200"/>
    <n v="2023"/>
  </r>
  <r>
    <n v="62"/>
    <d v="2023-12-27T00:00:00"/>
    <x v="6"/>
    <s v="CUST062"/>
    <s v="Male"/>
    <n v="18"/>
    <x v="0"/>
    <n v="2"/>
    <n v="50"/>
    <n v="100"/>
    <n v="100"/>
    <n v="2023"/>
  </r>
  <r>
    <n v="63"/>
    <d v="2023-02-05T00:00:00"/>
    <x v="1"/>
    <s v="CUST063"/>
    <s v="Male"/>
    <n v="57"/>
    <x v="2"/>
    <n v="2"/>
    <n v="25"/>
    <n v="50"/>
    <n v="50"/>
    <n v="2023"/>
  </r>
  <r>
    <n v="64"/>
    <d v="2023-01-24T00:00:00"/>
    <x v="2"/>
    <s v="CUST064"/>
    <s v="Male"/>
    <n v="49"/>
    <x v="1"/>
    <n v="4"/>
    <n v="25"/>
    <n v="100"/>
    <n v="100"/>
    <n v="2023"/>
  </r>
  <r>
    <n v="65"/>
    <d v="2023-12-05T00:00:00"/>
    <x v="6"/>
    <s v="CUST065"/>
    <s v="Male"/>
    <n v="51"/>
    <x v="2"/>
    <n v="4"/>
    <n v="500"/>
    <n v="2000"/>
    <n v="2000"/>
    <n v="2023"/>
  </r>
  <r>
    <n v="66"/>
    <d v="2023-04-27T00:00:00"/>
    <x v="4"/>
    <s v="CUST066"/>
    <s v="Female"/>
    <n v="45"/>
    <x v="2"/>
    <n v="1"/>
    <n v="30"/>
    <n v="30"/>
    <n v="30"/>
    <n v="2023"/>
  </r>
  <r>
    <n v="67"/>
    <d v="2023-05-29T00:00:00"/>
    <x v="3"/>
    <s v="CUST067"/>
    <s v="Female"/>
    <n v="48"/>
    <x v="0"/>
    <n v="4"/>
    <n v="300"/>
    <n v="1200"/>
    <n v="1200"/>
    <n v="2023"/>
  </r>
  <r>
    <n v="68"/>
    <d v="2023-02-10T00:00:00"/>
    <x v="1"/>
    <s v="CUST068"/>
    <s v="Male"/>
    <n v="25"/>
    <x v="2"/>
    <n v="1"/>
    <n v="300"/>
    <n v="300"/>
    <n v="300"/>
    <n v="2023"/>
  </r>
  <r>
    <n v="69"/>
    <d v="2023-04-30T00:00:00"/>
    <x v="4"/>
    <s v="CUST069"/>
    <s v="Female"/>
    <n v="56"/>
    <x v="0"/>
    <n v="3"/>
    <n v="25"/>
    <n v="75"/>
    <n v="75"/>
    <n v="2023"/>
  </r>
  <r>
    <n v="70"/>
    <d v="2023-02-21T00:00:00"/>
    <x v="1"/>
    <s v="CUST070"/>
    <s v="Female"/>
    <n v="43"/>
    <x v="1"/>
    <n v="1"/>
    <n v="300"/>
    <n v="300"/>
    <n v="300"/>
    <n v="2023"/>
  </r>
  <r>
    <n v="71"/>
    <d v="2023-07-14T00:00:00"/>
    <x v="11"/>
    <s v="CUST071"/>
    <s v="Female"/>
    <n v="51"/>
    <x v="0"/>
    <n v="4"/>
    <n v="25"/>
    <n v="100"/>
    <n v="100"/>
    <n v="2023"/>
  </r>
  <r>
    <n v="72"/>
    <d v="2023-05-23T00:00:00"/>
    <x v="3"/>
    <s v="CUST072"/>
    <s v="Female"/>
    <n v="20"/>
    <x v="2"/>
    <n v="4"/>
    <n v="500"/>
    <n v="2000"/>
    <n v="2000"/>
    <n v="2023"/>
  </r>
  <r>
    <n v="73"/>
    <d v="2023-08-21T00:00:00"/>
    <x v="8"/>
    <s v="CUST073"/>
    <s v="Male"/>
    <n v="29"/>
    <x v="2"/>
    <n v="3"/>
    <n v="30"/>
    <n v="90"/>
    <n v="90"/>
    <n v="2023"/>
  </r>
  <r>
    <n v="74"/>
    <d v="2023-11-22T00:00:00"/>
    <x v="0"/>
    <s v="CUST074"/>
    <s v="Female"/>
    <n v="18"/>
    <x v="0"/>
    <n v="4"/>
    <n v="500"/>
    <n v="2000"/>
    <n v="2000"/>
    <n v="2023"/>
  </r>
  <r>
    <n v="75"/>
    <d v="2023-07-06T00:00:00"/>
    <x v="11"/>
    <s v="CUST075"/>
    <s v="Male"/>
    <n v="61"/>
    <x v="0"/>
    <n v="4"/>
    <n v="50"/>
    <n v="200"/>
    <n v="200"/>
    <n v="2023"/>
  </r>
  <r>
    <n v="76"/>
    <d v="2023-03-25T00:00:00"/>
    <x v="5"/>
    <s v="CUST076"/>
    <s v="Female"/>
    <n v="22"/>
    <x v="2"/>
    <n v="2"/>
    <n v="50"/>
    <n v="100"/>
    <n v="100"/>
    <n v="2023"/>
  </r>
  <r>
    <n v="77"/>
    <d v="2023-07-09T00:00:00"/>
    <x v="11"/>
    <s v="CUST077"/>
    <s v="Female"/>
    <n v="47"/>
    <x v="1"/>
    <n v="2"/>
    <n v="50"/>
    <n v="100"/>
    <n v="100"/>
    <n v="2023"/>
  </r>
  <r>
    <n v="78"/>
    <d v="2023-07-01T00:00:00"/>
    <x v="11"/>
    <s v="CUST078"/>
    <s v="Female"/>
    <n v="47"/>
    <x v="1"/>
    <n v="3"/>
    <n v="500"/>
    <n v="1500"/>
    <n v="1500"/>
    <n v="2023"/>
  </r>
  <r>
    <n v="79"/>
    <d v="2023-04-18T00:00:00"/>
    <x v="4"/>
    <s v="CUST079"/>
    <s v="Male"/>
    <n v="34"/>
    <x v="0"/>
    <n v="1"/>
    <n v="300"/>
    <n v="300"/>
    <n v="300"/>
    <n v="2023"/>
  </r>
  <r>
    <n v="80"/>
    <d v="2023-12-10T00:00:00"/>
    <x v="6"/>
    <s v="CUST080"/>
    <s v="Female"/>
    <n v="64"/>
    <x v="1"/>
    <n v="2"/>
    <n v="30"/>
    <n v="60"/>
    <n v="60"/>
    <n v="2023"/>
  </r>
  <r>
    <n v="81"/>
    <d v="2023-05-17T00:00:00"/>
    <x v="3"/>
    <s v="CUST081"/>
    <s v="Male"/>
    <n v="40"/>
    <x v="2"/>
    <n v="1"/>
    <n v="50"/>
    <n v="50"/>
    <n v="50"/>
    <n v="2023"/>
  </r>
  <r>
    <n v="82"/>
    <d v="2023-12-26T00:00:00"/>
    <x v="6"/>
    <s v="CUST082"/>
    <s v="Female"/>
    <n v="32"/>
    <x v="0"/>
    <n v="4"/>
    <n v="50"/>
    <n v="200"/>
    <n v="200"/>
    <n v="2023"/>
  </r>
  <r>
    <n v="83"/>
    <d v="2023-12-16T00:00:00"/>
    <x v="6"/>
    <s v="CUST083"/>
    <s v="Male"/>
    <n v="54"/>
    <x v="2"/>
    <n v="2"/>
    <n v="50"/>
    <n v="100"/>
    <n v="100"/>
    <n v="2023"/>
  </r>
  <r>
    <n v="84"/>
    <d v="2023-11-28T00:00:00"/>
    <x v="0"/>
    <s v="CUST084"/>
    <s v="Female"/>
    <n v="38"/>
    <x v="2"/>
    <n v="3"/>
    <n v="30"/>
    <n v="90"/>
    <n v="90"/>
    <n v="2023"/>
  </r>
  <r>
    <n v="85"/>
    <d v="2023-02-06T00:00:00"/>
    <x v="1"/>
    <s v="CUST085"/>
    <s v="Male"/>
    <n v="31"/>
    <x v="1"/>
    <n v="3"/>
    <n v="50"/>
    <n v="150"/>
    <n v="150"/>
    <n v="2023"/>
  </r>
  <r>
    <n v="86"/>
    <d v="2023-11-08T00:00:00"/>
    <x v="0"/>
    <s v="CUST086"/>
    <s v="Male"/>
    <n v="19"/>
    <x v="0"/>
    <n v="3"/>
    <n v="30"/>
    <n v="90"/>
    <n v="90"/>
    <n v="2023"/>
  </r>
  <r>
    <n v="87"/>
    <d v="2023-11-22T00:00:00"/>
    <x v="0"/>
    <s v="CUST087"/>
    <s v="Female"/>
    <n v="28"/>
    <x v="0"/>
    <n v="2"/>
    <n v="50"/>
    <n v="100"/>
    <n v="100"/>
    <n v="2023"/>
  </r>
  <r>
    <n v="88"/>
    <d v="2023-03-29T00:00:00"/>
    <x v="5"/>
    <s v="CUST088"/>
    <s v="Male"/>
    <n v="56"/>
    <x v="1"/>
    <n v="1"/>
    <n v="500"/>
    <n v="500"/>
    <n v="500"/>
    <n v="2023"/>
  </r>
  <r>
    <n v="89"/>
    <d v="2023-10-01T00:00:00"/>
    <x v="7"/>
    <s v="CUST089"/>
    <s v="Female"/>
    <n v="55"/>
    <x v="2"/>
    <n v="4"/>
    <n v="500"/>
    <n v="2000"/>
    <n v="2000"/>
    <n v="2023"/>
  </r>
  <r>
    <n v="90"/>
    <d v="2023-05-06T00:00:00"/>
    <x v="3"/>
    <s v="CUST090"/>
    <s v="Female"/>
    <n v="51"/>
    <x v="2"/>
    <n v="1"/>
    <n v="30"/>
    <n v="30"/>
    <n v="30"/>
    <n v="2023"/>
  </r>
  <r>
    <n v="91"/>
    <d v="2023-03-25T00:00:00"/>
    <x v="5"/>
    <s v="CUST091"/>
    <s v="Female"/>
    <n v="55"/>
    <x v="2"/>
    <n v="1"/>
    <n v="500"/>
    <n v="500"/>
    <n v="500"/>
    <n v="2023"/>
  </r>
  <r>
    <n v="92"/>
    <d v="2023-08-25T00:00:00"/>
    <x v="8"/>
    <s v="CUST092"/>
    <s v="Female"/>
    <n v="51"/>
    <x v="2"/>
    <n v="4"/>
    <n v="30"/>
    <n v="120"/>
    <n v="120"/>
    <n v="2023"/>
  </r>
  <r>
    <n v="93"/>
    <d v="2023-07-14T00:00:00"/>
    <x v="11"/>
    <s v="CUST093"/>
    <s v="Female"/>
    <n v="35"/>
    <x v="0"/>
    <n v="4"/>
    <n v="500"/>
    <n v="2000"/>
    <n v="2000"/>
    <n v="2023"/>
  </r>
  <r>
    <n v="94"/>
    <d v="2023-05-19T00:00:00"/>
    <x v="3"/>
    <s v="CUST094"/>
    <s v="Female"/>
    <n v="47"/>
    <x v="0"/>
    <n v="2"/>
    <n v="500"/>
    <n v="1000"/>
    <n v="1000"/>
    <n v="2023"/>
  </r>
  <r>
    <n v="95"/>
    <d v="2023-11-24T00:00:00"/>
    <x v="0"/>
    <s v="CUST095"/>
    <s v="Female"/>
    <n v="32"/>
    <x v="1"/>
    <n v="2"/>
    <n v="30"/>
    <n v="60"/>
    <n v="60"/>
    <n v="2023"/>
  </r>
  <r>
    <n v="96"/>
    <d v="2023-12-19T00:00:00"/>
    <x v="6"/>
    <s v="CUST096"/>
    <s v="Female"/>
    <n v="44"/>
    <x v="1"/>
    <n v="2"/>
    <n v="300"/>
    <n v="600"/>
    <n v="600"/>
    <n v="2023"/>
  </r>
  <r>
    <n v="97"/>
    <d v="2023-10-13T00:00:00"/>
    <x v="7"/>
    <s v="CUST097"/>
    <s v="Female"/>
    <n v="51"/>
    <x v="0"/>
    <n v="2"/>
    <n v="500"/>
    <n v="1000"/>
    <n v="1000"/>
    <n v="2023"/>
  </r>
  <r>
    <n v="98"/>
    <d v="2023-04-23T00:00:00"/>
    <x v="4"/>
    <s v="CUST098"/>
    <s v="Female"/>
    <n v="55"/>
    <x v="0"/>
    <n v="2"/>
    <n v="50"/>
    <n v="100"/>
    <n v="100"/>
    <n v="2023"/>
  </r>
  <r>
    <n v="99"/>
    <d v="2023-12-17T00:00:00"/>
    <x v="6"/>
    <s v="CUST099"/>
    <s v="Female"/>
    <n v="50"/>
    <x v="2"/>
    <n v="4"/>
    <n v="300"/>
    <n v="1200"/>
    <n v="1200"/>
    <n v="2023"/>
  </r>
  <r>
    <n v="100"/>
    <d v="2023-06-16T00:00:00"/>
    <x v="10"/>
    <s v="CUST100"/>
    <s v="Male"/>
    <n v="41"/>
    <x v="2"/>
    <n v="1"/>
    <n v="30"/>
    <n v="30"/>
    <n v="30"/>
    <n v="2023"/>
  </r>
  <r>
    <n v="101"/>
    <d v="2023-01-29T00:00:00"/>
    <x v="2"/>
    <s v="CUST101"/>
    <s v="Male"/>
    <n v="32"/>
    <x v="1"/>
    <n v="2"/>
    <n v="300"/>
    <n v="600"/>
    <n v="600"/>
    <n v="2023"/>
  </r>
  <r>
    <n v="102"/>
    <d v="2023-04-28T00:00:00"/>
    <x v="4"/>
    <s v="CUST102"/>
    <s v="Female"/>
    <n v="47"/>
    <x v="0"/>
    <n v="2"/>
    <n v="25"/>
    <n v="50"/>
    <n v="50"/>
    <n v="2023"/>
  </r>
  <r>
    <n v="103"/>
    <d v="2023-01-17T00:00:00"/>
    <x v="2"/>
    <s v="CUST103"/>
    <s v="Female"/>
    <n v="59"/>
    <x v="1"/>
    <n v="1"/>
    <n v="25"/>
    <n v="25"/>
    <n v="25"/>
    <n v="2023"/>
  </r>
  <r>
    <n v="104"/>
    <d v="2023-06-11T00:00:00"/>
    <x v="10"/>
    <s v="CUST104"/>
    <s v="Female"/>
    <n v="34"/>
    <x v="0"/>
    <n v="2"/>
    <n v="500"/>
    <n v="1000"/>
    <n v="1000"/>
    <n v="2023"/>
  </r>
  <r>
    <n v="105"/>
    <d v="2023-07-25T00:00:00"/>
    <x v="11"/>
    <s v="CUST105"/>
    <s v="Female"/>
    <n v="22"/>
    <x v="2"/>
    <n v="1"/>
    <n v="500"/>
    <n v="500"/>
    <n v="500"/>
    <n v="2023"/>
  </r>
  <r>
    <n v="106"/>
    <d v="2023-05-18T00:00:00"/>
    <x v="3"/>
    <s v="CUST106"/>
    <s v="Female"/>
    <n v="46"/>
    <x v="1"/>
    <n v="1"/>
    <n v="50"/>
    <n v="50"/>
    <n v="50"/>
    <n v="2023"/>
  </r>
  <r>
    <n v="107"/>
    <d v="2023-02-03T00:00:00"/>
    <x v="1"/>
    <s v="CUST107"/>
    <s v="Female"/>
    <n v="21"/>
    <x v="1"/>
    <n v="4"/>
    <n v="300"/>
    <n v="1200"/>
    <n v="1200"/>
    <n v="2023"/>
  </r>
  <r>
    <n v="108"/>
    <d v="2023-04-19T00:00:00"/>
    <x v="4"/>
    <s v="CUST108"/>
    <s v="Female"/>
    <n v="27"/>
    <x v="0"/>
    <n v="3"/>
    <n v="25"/>
    <n v="75"/>
    <n v="75"/>
    <n v="2023"/>
  </r>
  <r>
    <n v="109"/>
    <d v="2023-10-18T00:00:00"/>
    <x v="7"/>
    <s v="CUST109"/>
    <s v="Female"/>
    <n v="34"/>
    <x v="2"/>
    <n v="4"/>
    <n v="500"/>
    <n v="2000"/>
    <n v="2000"/>
    <n v="2023"/>
  </r>
  <r>
    <n v="110"/>
    <d v="2023-06-11T00:00:00"/>
    <x v="10"/>
    <s v="CUST110"/>
    <s v="Male"/>
    <n v="27"/>
    <x v="1"/>
    <n v="3"/>
    <n v="300"/>
    <n v="900"/>
    <n v="900"/>
    <n v="2023"/>
  </r>
  <r>
    <n v="111"/>
    <d v="2023-04-19T00:00:00"/>
    <x v="4"/>
    <s v="CUST111"/>
    <s v="Female"/>
    <n v="34"/>
    <x v="2"/>
    <n v="3"/>
    <n v="500"/>
    <n v="1500"/>
    <n v="1500"/>
    <n v="2023"/>
  </r>
  <r>
    <n v="112"/>
    <d v="2023-12-02T00:00:00"/>
    <x v="6"/>
    <s v="CUST112"/>
    <s v="Male"/>
    <n v="37"/>
    <x v="1"/>
    <n v="3"/>
    <n v="500"/>
    <n v="1500"/>
    <n v="1500"/>
    <n v="2023"/>
  </r>
  <r>
    <n v="113"/>
    <d v="2023-09-13T00:00:00"/>
    <x v="9"/>
    <s v="CUST113"/>
    <s v="Female"/>
    <n v="41"/>
    <x v="2"/>
    <n v="2"/>
    <n v="25"/>
    <n v="50"/>
    <n v="50"/>
    <n v="2023"/>
  </r>
  <r>
    <n v="114"/>
    <d v="2023-07-22T00:00:00"/>
    <x v="11"/>
    <s v="CUST114"/>
    <s v="Female"/>
    <n v="22"/>
    <x v="0"/>
    <n v="4"/>
    <n v="25"/>
    <n v="100"/>
    <n v="100"/>
    <n v="2023"/>
  </r>
  <r>
    <n v="115"/>
    <d v="2023-11-26T00:00:00"/>
    <x v="0"/>
    <s v="CUST115"/>
    <s v="Male"/>
    <n v="51"/>
    <x v="1"/>
    <n v="3"/>
    <n v="500"/>
    <n v="1500"/>
    <n v="1500"/>
    <n v="2023"/>
  </r>
  <r>
    <n v="116"/>
    <d v="2023-08-23T00:00:00"/>
    <x v="8"/>
    <s v="CUST116"/>
    <s v="Female"/>
    <n v="23"/>
    <x v="1"/>
    <n v="1"/>
    <n v="30"/>
    <n v="30"/>
    <n v="30"/>
    <n v="2023"/>
  </r>
  <r>
    <n v="117"/>
    <d v="2023-03-15T00:00:00"/>
    <x v="5"/>
    <s v="CUST117"/>
    <s v="Male"/>
    <n v="19"/>
    <x v="2"/>
    <n v="2"/>
    <n v="500"/>
    <n v="1000"/>
    <n v="1000"/>
    <n v="2023"/>
  </r>
  <r>
    <n v="118"/>
    <d v="2023-05-16T00:00:00"/>
    <x v="3"/>
    <s v="CUST118"/>
    <s v="Female"/>
    <n v="30"/>
    <x v="2"/>
    <n v="4"/>
    <n v="500"/>
    <n v="2000"/>
    <n v="2000"/>
    <n v="2023"/>
  </r>
  <r>
    <n v="119"/>
    <d v="2023-03-13T00:00:00"/>
    <x v="5"/>
    <s v="CUST119"/>
    <s v="Female"/>
    <n v="60"/>
    <x v="1"/>
    <n v="3"/>
    <n v="50"/>
    <n v="150"/>
    <n v="150"/>
    <n v="2023"/>
  </r>
  <r>
    <n v="120"/>
    <d v="2023-05-07T00:00:00"/>
    <x v="3"/>
    <s v="CUST120"/>
    <s v="Male"/>
    <n v="60"/>
    <x v="0"/>
    <n v="1"/>
    <n v="50"/>
    <n v="50"/>
    <n v="50"/>
    <n v="2023"/>
  </r>
  <r>
    <n v="121"/>
    <d v="2023-10-15T00:00:00"/>
    <x v="7"/>
    <s v="CUST121"/>
    <s v="Female"/>
    <n v="28"/>
    <x v="2"/>
    <n v="4"/>
    <n v="50"/>
    <n v="200"/>
    <n v="200"/>
    <n v="2023"/>
  </r>
  <r>
    <n v="122"/>
    <d v="2023-10-03T00:00:00"/>
    <x v="7"/>
    <s v="CUST122"/>
    <s v="Male"/>
    <n v="64"/>
    <x v="2"/>
    <n v="4"/>
    <n v="30"/>
    <n v="120"/>
    <n v="120"/>
    <n v="2023"/>
  </r>
  <r>
    <n v="123"/>
    <d v="2023-05-15T00:00:00"/>
    <x v="3"/>
    <s v="CUST123"/>
    <s v="Female"/>
    <n v="40"/>
    <x v="2"/>
    <n v="2"/>
    <n v="30"/>
    <n v="60"/>
    <n v="60"/>
    <n v="2023"/>
  </r>
  <r>
    <n v="124"/>
    <d v="2023-10-27T00:00:00"/>
    <x v="7"/>
    <s v="CUST124"/>
    <s v="Male"/>
    <n v="33"/>
    <x v="1"/>
    <n v="4"/>
    <n v="500"/>
    <n v="2000"/>
    <n v="2000"/>
    <n v="2023"/>
  </r>
  <r>
    <n v="125"/>
    <d v="2023-08-08T00:00:00"/>
    <x v="8"/>
    <s v="CUST125"/>
    <s v="Male"/>
    <n v="48"/>
    <x v="1"/>
    <n v="2"/>
    <n v="50"/>
    <n v="100"/>
    <n v="100"/>
    <n v="2023"/>
  </r>
  <r>
    <n v="126"/>
    <d v="2023-10-26T00:00:00"/>
    <x v="7"/>
    <s v="CUST126"/>
    <s v="Female"/>
    <n v="28"/>
    <x v="1"/>
    <n v="3"/>
    <n v="30"/>
    <n v="90"/>
    <n v="90"/>
    <n v="2023"/>
  </r>
  <r>
    <n v="127"/>
    <d v="2023-07-24T00:00:00"/>
    <x v="11"/>
    <s v="CUST127"/>
    <s v="Female"/>
    <n v="33"/>
    <x v="1"/>
    <n v="2"/>
    <n v="25"/>
    <n v="50"/>
    <n v="50"/>
    <n v="2023"/>
  </r>
  <r>
    <n v="128"/>
    <d v="2023-07-05T00:00:00"/>
    <x v="11"/>
    <s v="CUST128"/>
    <s v="Male"/>
    <n v="25"/>
    <x v="0"/>
    <n v="1"/>
    <n v="500"/>
    <n v="500"/>
    <n v="500"/>
    <n v="2023"/>
  </r>
  <r>
    <n v="129"/>
    <d v="2023-04-23T00:00:00"/>
    <x v="4"/>
    <s v="CUST129"/>
    <s v="Female"/>
    <n v="21"/>
    <x v="0"/>
    <n v="2"/>
    <n v="300"/>
    <n v="600"/>
    <n v="600"/>
    <n v="2023"/>
  </r>
  <r>
    <n v="130"/>
    <d v="2023-03-12T00:00:00"/>
    <x v="5"/>
    <s v="CUST130"/>
    <s v="Female"/>
    <n v="57"/>
    <x v="1"/>
    <n v="1"/>
    <n v="500"/>
    <n v="500"/>
    <n v="500"/>
    <n v="2023"/>
  </r>
  <r>
    <n v="131"/>
    <d v="2023-09-18T00:00:00"/>
    <x v="9"/>
    <s v="CUST131"/>
    <s v="Female"/>
    <n v="21"/>
    <x v="0"/>
    <n v="2"/>
    <n v="300"/>
    <n v="600"/>
    <n v="600"/>
    <n v="2023"/>
  </r>
  <r>
    <n v="132"/>
    <d v="2023-09-10T00:00:00"/>
    <x v="9"/>
    <s v="CUST132"/>
    <s v="Male"/>
    <n v="42"/>
    <x v="2"/>
    <n v="4"/>
    <n v="50"/>
    <n v="200"/>
    <n v="200"/>
    <n v="2023"/>
  </r>
  <r>
    <n v="133"/>
    <d v="2023-02-16T00:00:00"/>
    <x v="1"/>
    <s v="CUST133"/>
    <s v="Male"/>
    <n v="20"/>
    <x v="2"/>
    <n v="3"/>
    <n v="300"/>
    <n v="900"/>
    <n v="900"/>
    <n v="2023"/>
  </r>
  <r>
    <n v="134"/>
    <d v="2023-01-25T00:00:00"/>
    <x v="2"/>
    <s v="CUST134"/>
    <s v="Male"/>
    <n v="49"/>
    <x v="2"/>
    <n v="1"/>
    <n v="50"/>
    <n v="50"/>
    <n v="50"/>
    <n v="2023"/>
  </r>
  <r>
    <n v="135"/>
    <d v="2023-02-26T00:00:00"/>
    <x v="1"/>
    <s v="CUST135"/>
    <s v="Male"/>
    <n v="20"/>
    <x v="1"/>
    <n v="2"/>
    <n v="25"/>
    <n v="50"/>
    <n v="50"/>
    <n v="2023"/>
  </r>
  <r>
    <n v="136"/>
    <d v="2023-03-20T00:00:00"/>
    <x v="5"/>
    <s v="CUST136"/>
    <s v="Male"/>
    <n v="44"/>
    <x v="2"/>
    <n v="2"/>
    <n v="300"/>
    <n v="600"/>
    <n v="600"/>
    <n v="2023"/>
  </r>
  <r>
    <n v="137"/>
    <d v="2023-11-18T00:00:00"/>
    <x v="0"/>
    <s v="CUST137"/>
    <s v="Male"/>
    <n v="46"/>
    <x v="0"/>
    <n v="2"/>
    <n v="500"/>
    <n v="1000"/>
    <n v="1000"/>
    <n v="2023"/>
  </r>
  <r>
    <n v="138"/>
    <d v="2023-03-23T00:00:00"/>
    <x v="5"/>
    <s v="CUST138"/>
    <s v="Male"/>
    <n v="49"/>
    <x v="1"/>
    <n v="4"/>
    <n v="50"/>
    <n v="200"/>
    <n v="200"/>
    <n v="2023"/>
  </r>
  <r>
    <n v="139"/>
    <d v="2023-12-15T00:00:00"/>
    <x v="6"/>
    <s v="CUST139"/>
    <s v="Male"/>
    <n v="36"/>
    <x v="0"/>
    <n v="4"/>
    <n v="500"/>
    <n v="2000"/>
    <n v="2000"/>
    <n v="2023"/>
  </r>
  <r>
    <n v="140"/>
    <d v="2023-08-05T00:00:00"/>
    <x v="8"/>
    <s v="CUST140"/>
    <s v="Male"/>
    <n v="38"/>
    <x v="2"/>
    <n v="1"/>
    <n v="30"/>
    <n v="30"/>
    <n v="30"/>
    <n v="2023"/>
  </r>
  <r>
    <n v="141"/>
    <d v="2023-11-02T00:00:00"/>
    <x v="0"/>
    <s v="CUST141"/>
    <s v="Female"/>
    <n v="22"/>
    <x v="2"/>
    <n v="1"/>
    <n v="50"/>
    <n v="50"/>
    <n v="50"/>
    <n v="2023"/>
  </r>
  <r>
    <n v="142"/>
    <d v="2023-02-02T00:00:00"/>
    <x v="1"/>
    <s v="CUST142"/>
    <s v="Male"/>
    <n v="35"/>
    <x v="2"/>
    <n v="4"/>
    <n v="300"/>
    <n v="1200"/>
    <n v="1200"/>
    <n v="2023"/>
  </r>
  <r>
    <n v="143"/>
    <d v="2023-07-17T00:00:00"/>
    <x v="11"/>
    <s v="CUST143"/>
    <s v="Female"/>
    <n v="45"/>
    <x v="1"/>
    <n v="1"/>
    <n v="50"/>
    <n v="50"/>
    <n v="50"/>
    <n v="2023"/>
  </r>
  <r>
    <n v="144"/>
    <d v="2023-07-15T00:00:00"/>
    <x v="11"/>
    <s v="CUST144"/>
    <s v="Female"/>
    <n v="59"/>
    <x v="0"/>
    <n v="3"/>
    <n v="500"/>
    <n v="1500"/>
    <n v="1500"/>
    <n v="2023"/>
  </r>
  <r>
    <n v="145"/>
    <d v="2023-11-02T00:00:00"/>
    <x v="0"/>
    <s v="CUST145"/>
    <s v="Female"/>
    <n v="39"/>
    <x v="1"/>
    <n v="3"/>
    <n v="25"/>
    <n v="75"/>
    <n v="75"/>
    <n v="2023"/>
  </r>
  <r>
    <n v="146"/>
    <d v="2023-08-28T00:00:00"/>
    <x v="8"/>
    <s v="CUST146"/>
    <s v="Male"/>
    <n v="38"/>
    <x v="1"/>
    <n v="4"/>
    <n v="50"/>
    <n v="200"/>
    <n v="200"/>
    <n v="2023"/>
  </r>
  <r>
    <n v="147"/>
    <d v="2023-09-28T00:00:00"/>
    <x v="9"/>
    <s v="CUST147"/>
    <s v="Male"/>
    <n v="23"/>
    <x v="2"/>
    <n v="1"/>
    <n v="300"/>
    <n v="300"/>
    <n v="300"/>
    <n v="2023"/>
  </r>
  <r>
    <n v="148"/>
    <d v="2023-05-09T00:00:00"/>
    <x v="3"/>
    <s v="CUST148"/>
    <s v="Male"/>
    <n v="18"/>
    <x v="1"/>
    <n v="2"/>
    <n v="30"/>
    <n v="60"/>
    <n v="60"/>
    <n v="2023"/>
  </r>
  <r>
    <n v="149"/>
    <d v="2023-10-11T00:00:00"/>
    <x v="7"/>
    <s v="CUST149"/>
    <s v="Male"/>
    <n v="22"/>
    <x v="1"/>
    <n v="3"/>
    <n v="25"/>
    <n v="75"/>
    <n v="75"/>
    <n v="2023"/>
  </r>
  <r>
    <n v="150"/>
    <d v="2023-01-06T00:00:00"/>
    <x v="2"/>
    <s v="CUST150"/>
    <s v="Female"/>
    <n v="58"/>
    <x v="2"/>
    <n v="4"/>
    <n v="30"/>
    <n v="120"/>
    <n v="120"/>
    <n v="2023"/>
  </r>
  <r>
    <n v="151"/>
    <d v="2023-12-15T00:00:00"/>
    <x v="6"/>
    <s v="CUST151"/>
    <s v="Male"/>
    <n v="29"/>
    <x v="1"/>
    <n v="1"/>
    <n v="50"/>
    <n v="50"/>
    <n v="50"/>
    <n v="2023"/>
  </r>
  <r>
    <n v="152"/>
    <d v="2023-02-28T00:00:00"/>
    <x v="1"/>
    <s v="CUST152"/>
    <s v="Male"/>
    <n v="43"/>
    <x v="2"/>
    <n v="4"/>
    <n v="500"/>
    <n v="2000"/>
    <n v="2000"/>
    <n v="2023"/>
  </r>
  <r>
    <n v="153"/>
    <d v="2023-12-16T00:00:00"/>
    <x v="6"/>
    <s v="CUST153"/>
    <s v="Male"/>
    <n v="63"/>
    <x v="2"/>
    <n v="2"/>
    <n v="500"/>
    <n v="1000"/>
    <n v="1000"/>
    <n v="2023"/>
  </r>
  <r>
    <n v="154"/>
    <d v="2023-10-02T00:00:00"/>
    <x v="7"/>
    <s v="CUST154"/>
    <s v="Male"/>
    <n v="51"/>
    <x v="2"/>
    <n v="3"/>
    <n v="300"/>
    <n v="900"/>
    <n v="900"/>
    <n v="2023"/>
  </r>
  <r>
    <n v="155"/>
    <d v="2023-05-17T00:00:00"/>
    <x v="3"/>
    <s v="CUST155"/>
    <s v="Male"/>
    <n v="31"/>
    <x v="2"/>
    <n v="4"/>
    <n v="500"/>
    <n v="2000"/>
    <n v="2000"/>
    <n v="2023"/>
  </r>
  <r>
    <n v="156"/>
    <d v="2023-11-25T00:00:00"/>
    <x v="0"/>
    <s v="CUST156"/>
    <s v="Female"/>
    <n v="43"/>
    <x v="1"/>
    <n v="4"/>
    <n v="25"/>
    <n v="100"/>
    <n v="100"/>
    <n v="2023"/>
  </r>
  <r>
    <n v="157"/>
    <d v="2023-06-24T00:00:00"/>
    <x v="10"/>
    <s v="CUST157"/>
    <s v="Male"/>
    <n v="62"/>
    <x v="2"/>
    <n v="4"/>
    <n v="500"/>
    <n v="2000"/>
    <n v="2000"/>
    <n v="2023"/>
  </r>
  <r>
    <n v="158"/>
    <d v="2023-02-27T00:00:00"/>
    <x v="1"/>
    <s v="CUST158"/>
    <s v="Female"/>
    <n v="44"/>
    <x v="2"/>
    <n v="2"/>
    <n v="300"/>
    <n v="600"/>
    <n v="600"/>
    <n v="2023"/>
  </r>
  <r>
    <n v="159"/>
    <d v="2023-05-31T00:00:00"/>
    <x v="3"/>
    <s v="CUST159"/>
    <s v="Male"/>
    <n v="26"/>
    <x v="1"/>
    <n v="4"/>
    <n v="50"/>
    <n v="200"/>
    <n v="200"/>
    <n v="2023"/>
  </r>
  <r>
    <n v="160"/>
    <d v="2023-08-11T00:00:00"/>
    <x v="8"/>
    <s v="CUST160"/>
    <s v="Female"/>
    <n v="43"/>
    <x v="1"/>
    <n v="2"/>
    <n v="50"/>
    <n v="100"/>
    <n v="100"/>
    <n v="2023"/>
  </r>
  <r>
    <n v="161"/>
    <d v="2023-03-22T00:00:00"/>
    <x v="5"/>
    <s v="CUST161"/>
    <s v="Male"/>
    <n v="64"/>
    <x v="0"/>
    <n v="2"/>
    <n v="500"/>
    <n v="1000"/>
    <n v="1000"/>
    <n v="2023"/>
  </r>
  <r>
    <n v="162"/>
    <d v="2023-08-21T00:00:00"/>
    <x v="8"/>
    <s v="CUST162"/>
    <s v="Male"/>
    <n v="39"/>
    <x v="1"/>
    <n v="2"/>
    <n v="30"/>
    <n v="60"/>
    <n v="60"/>
    <n v="2023"/>
  </r>
  <r>
    <n v="163"/>
    <d v="2023-01-02T00:00:00"/>
    <x v="2"/>
    <s v="CUST163"/>
    <s v="Female"/>
    <n v="64"/>
    <x v="1"/>
    <n v="3"/>
    <n v="50"/>
    <n v="150"/>
    <n v="150"/>
    <n v="2023"/>
  </r>
  <r>
    <n v="164"/>
    <d v="2023-05-15T00:00:00"/>
    <x v="3"/>
    <s v="CUST164"/>
    <s v="Female"/>
    <n v="47"/>
    <x v="0"/>
    <n v="3"/>
    <n v="500"/>
    <n v="1500"/>
    <n v="1500"/>
    <n v="2023"/>
  </r>
  <r>
    <n v="165"/>
    <d v="2023-09-14T00:00:00"/>
    <x v="9"/>
    <s v="CUST165"/>
    <s v="Female"/>
    <n v="60"/>
    <x v="1"/>
    <n v="4"/>
    <n v="300"/>
    <n v="1200"/>
    <n v="1200"/>
    <n v="2023"/>
  </r>
  <r>
    <n v="166"/>
    <d v="2023-04-02T00:00:00"/>
    <x v="4"/>
    <s v="CUST166"/>
    <s v="Male"/>
    <n v="34"/>
    <x v="1"/>
    <n v="4"/>
    <n v="500"/>
    <n v="2000"/>
    <n v="2000"/>
    <n v="2023"/>
  </r>
  <r>
    <n v="167"/>
    <d v="2023-09-17T00:00:00"/>
    <x v="9"/>
    <s v="CUST167"/>
    <s v="Female"/>
    <n v="43"/>
    <x v="1"/>
    <n v="3"/>
    <n v="50"/>
    <n v="150"/>
    <n v="150"/>
    <n v="2023"/>
  </r>
  <r>
    <n v="168"/>
    <d v="2023-02-24T00:00:00"/>
    <x v="1"/>
    <s v="CUST168"/>
    <s v="Male"/>
    <n v="53"/>
    <x v="1"/>
    <n v="1"/>
    <n v="300"/>
    <n v="300"/>
    <n v="300"/>
    <n v="2023"/>
  </r>
  <r>
    <n v="169"/>
    <d v="2023-11-17T00:00:00"/>
    <x v="0"/>
    <s v="CUST169"/>
    <s v="Male"/>
    <n v="18"/>
    <x v="0"/>
    <n v="3"/>
    <n v="500"/>
    <n v="1500"/>
    <n v="1500"/>
    <n v="2023"/>
  </r>
  <r>
    <n v="170"/>
    <d v="2023-06-02T00:00:00"/>
    <x v="10"/>
    <s v="CUST170"/>
    <s v="Female"/>
    <n v="25"/>
    <x v="1"/>
    <n v="2"/>
    <n v="25"/>
    <n v="50"/>
    <n v="50"/>
    <n v="2023"/>
  </r>
  <r>
    <n v="171"/>
    <d v="2023-11-24T00:00:00"/>
    <x v="0"/>
    <s v="CUST171"/>
    <s v="Female"/>
    <n v="52"/>
    <x v="1"/>
    <n v="3"/>
    <n v="300"/>
    <n v="900"/>
    <n v="900"/>
    <n v="2023"/>
  </r>
  <r>
    <n v="172"/>
    <d v="2023-09-17T00:00:00"/>
    <x v="9"/>
    <s v="CUST172"/>
    <s v="Male"/>
    <n v="32"/>
    <x v="0"/>
    <n v="2"/>
    <n v="25"/>
    <n v="50"/>
    <n v="50"/>
    <n v="2023"/>
  </r>
  <r>
    <n v="173"/>
    <d v="2023-11-08T00:00:00"/>
    <x v="0"/>
    <s v="CUST173"/>
    <s v="Male"/>
    <n v="64"/>
    <x v="2"/>
    <n v="4"/>
    <n v="30"/>
    <n v="120"/>
    <n v="120"/>
    <n v="2023"/>
  </r>
  <r>
    <n v="174"/>
    <d v="2023-04-12T00:00:00"/>
    <x v="4"/>
    <s v="CUST174"/>
    <s v="Female"/>
    <n v="39"/>
    <x v="0"/>
    <n v="1"/>
    <n v="300"/>
    <n v="300"/>
    <n v="300"/>
    <n v="2023"/>
  </r>
  <r>
    <n v="175"/>
    <d v="2023-03-20T00:00:00"/>
    <x v="5"/>
    <s v="CUST175"/>
    <s v="Female"/>
    <n v="31"/>
    <x v="2"/>
    <n v="4"/>
    <n v="25"/>
    <n v="100"/>
    <n v="100"/>
    <n v="2023"/>
  </r>
  <r>
    <n v="176"/>
    <d v="2023-07-11T00:00:00"/>
    <x v="11"/>
    <s v="CUST176"/>
    <s v="Female"/>
    <n v="43"/>
    <x v="0"/>
    <n v="2"/>
    <n v="50"/>
    <n v="100"/>
    <n v="100"/>
    <n v="2023"/>
  </r>
  <r>
    <n v="177"/>
    <d v="2023-03-24T00:00:00"/>
    <x v="5"/>
    <s v="CUST177"/>
    <s v="Male"/>
    <n v="45"/>
    <x v="0"/>
    <n v="2"/>
    <n v="50"/>
    <n v="100"/>
    <n v="100"/>
    <n v="2023"/>
  </r>
  <r>
    <n v="178"/>
    <d v="2023-10-04T00:00:00"/>
    <x v="7"/>
    <s v="CUST178"/>
    <s v="Male"/>
    <n v="40"/>
    <x v="1"/>
    <n v="2"/>
    <n v="30"/>
    <n v="60"/>
    <n v="60"/>
    <n v="2023"/>
  </r>
  <r>
    <n v="179"/>
    <d v="2023-09-29T00:00:00"/>
    <x v="9"/>
    <s v="CUST179"/>
    <s v="Male"/>
    <n v="31"/>
    <x v="2"/>
    <n v="1"/>
    <n v="300"/>
    <n v="300"/>
    <n v="300"/>
    <n v="2023"/>
  </r>
  <r>
    <n v="180"/>
    <d v="2023-01-01T00:00:00"/>
    <x v="2"/>
    <s v="CUST180"/>
    <s v="Male"/>
    <n v="41"/>
    <x v="1"/>
    <n v="3"/>
    <n v="300"/>
    <n v="900"/>
    <n v="900"/>
    <n v="2023"/>
  </r>
  <r>
    <n v="181"/>
    <d v="2023-11-03T00:00:00"/>
    <x v="0"/>
    <s v="CUST181"/>
    <s v="Male"/>
    <n v="19"/>
    <x v="2"/>
    <n v="4"/>
    <n v="300"/>
    <n v="1200"/>
    <n v="1200"/>
    <n v="2023"/>
  </r>
  <r>
    <n v="182"/>
    <d v="2023-06-15T00:00:00"/>
    <x v="10"/>
    <s v="CUST182"/>
    <s v="Male"/>
    <n v="62"/>
    <x v="0"/>
    <n v="4"/>
    <n v="30"/>
    <n v="120"/>
    <n v="120"/>
    <n v="2023"/>
  </r>
  <r>
    <n v="183"/>
    <d v="2023-09-08T00:00:00"/>
    <x v="9"/>
    <s v="CUST183"/>
    <s v="Female"/>
    <n v="43"/>
    <x v="0"/>
    <n v="3"/>
    <n v="300"/>
    <n v="900"/>
    <n v="900"/>
    <n v="2023"/>
  </r>
  <r>
    <n v="184"/>
    <d v="2023-01-10T00:00:00"/>
    <x v="2"/>
    <s v="CUST184"/>
    <s v="Male"/>
    <n v="31"/>
    <x v="2"/>
    <n v="4"/>
    <n v="50"/>
    <n v="200"/>
    <n v="200"/>
    <n v="2023"/>
  </r>
  <r>
    <n v="185"/>
    <d v="2023-02-27T00:00:00"/>
    <x v="1"/>
    <s v="CUST185"/>
    <s v="Male"/>
    <n v="24"/>
    <x v="1"/>
    <n v="1"/>
    <n v="25"/>
    <n v="25"/>
    <n v="25"/>
    <n v="2023"/>
  </r>
  <r>
    <n v="186"/>
    <d v="2023-07-05T00:00:00"/>
    <x v="11"/>
    <s v="CUST186"/>
    <s v="Male"/>
    <n v="20"/>
    <x v="1"/>
    <n v="4"/>
    <n v="50"/>
    <n v="200"/>
    <n v="200"/>
    <n v="2023"/>
  </r>
  <r>
    <n v="187"/>
    <d v="2023-06-07T00:00:00"/>
    <x v="10"/>
    <s v="CUST187"/>
    <s v="Female"/>
    <n v="64"/>
    <x v="1"/>
    <n v="2"/>
    <n v="50"/>
    <n v="100"/>
    <n v="100"/>
    <n v="2023"/>
  </r>
  <r>
    <n v="188"/>
    <d v="2023-05-03T00:00:00"/>
    <x v="3"/>
    <s v="CUST188"/>
    <s v="Male"/>
    <n v="40"/>
    <x v="1"/>
    <n v="3"/>
    <n v="25"/>
    <n v="75"/>
    <n v="75"/>
    <n v="2023"/>
  </r>
  <r>
    <n v="189"/>
    <d v="2023-01-30T00:00:00"/>
    <x v="2"/>
    <s v="CUST189"/>
    <s v="Male"/>
    <n v="63"/>
    <x v="0"/>
    <n v="1"/>
    <n v="50"/>
    <n v="50"/>
    <n v="50"/>
    <n v="2023"/>
  </r>
  <r>
    <n v="190"/>
    <d v="2023-05-04T00:00:00"/>
    <x v="3"/>
    <s v="CUST190"/>
    <s v="Female"/>
    <n v="60"/>
    <x v="0"/>
    <n v="3"/>
    <n v="30"/>
    <n v="90"/>
    <n v="90"/>
    <n v="2023"/>
  </r>
  <r>
    <n v="191"/>
    <d v="2023-10-18T00:00:00"/>
    <x v="7"/>
    <s v="CUST191"/>
    <s v="Male"/>
    <n v="64"/>
    <x v="0"/>
    <n v="1"/>
    <n v="25"/>
    <n v="25"/>
    <n v="25"/>
    <n v="2023"/>
  </r>
  <r>
    <n v="192"/>
    <d v="2023-02-10T00:00:00"/>
    <x v="1"/>
    <s v="CUST192"/>
    <s v="Male"/>
    <n v="62"/>
    <x v="0"/>
    <n v="2"/>
    <n v="50"/>
    <n v="100"/>
    <n v="100"/>
    <n v="2023"/>
  </r>
  <r>
    <n v="193"/>
    <d v="2023-02-13T00:00:00"/>
    <x v="1"/>
    <s v="CUST193"/>
    <s v="Male"/>
    <n v="35"/>
    <x v="0"/>
    <n v="3"/>
    <n v="500"/>
    <n v="1500"/>
    <n v="1500"/>
    <n v="2023"/>
  </r>
  <r>
    <n v="194"/>
    <d v="2023-09-06T00:00:00"/>
    <x v="9"/>
    <s v="CUST194"/>
    <s v="Male"/>
    <n v="55"/>
    <x v="1"/>
    <n v="4"/>
    <n v="50"/>
    <n v="200"/>
    <n v="200"/>
    <n v="2023"/>
  </r>
  <r>
    <n v="195"/>
    <d v="2023-02-05T00:00:00"/>
    <x v="1"/>
    <s v="CUST195"/>
    <s v="Male"/>
    <n v="52"/>
    <x v="1"/>
    <n v="1"/>
    <n v="30"/>
    <n v="30"/>
    <n v="30"/>
    <n v="2023"/>
  </r>
  <r>
    <n v="196"/>
    <d v="2023-09-30T00:00:00"/>
    <x v="9"/>
    <s v="CUST196"/>
    <s v="Female"/>
    <n v="32"/>
    <x v="1"/>
    <n v="3"/>
    <n v="300"/>
    <n v="900"/>
    <n v="900"/>
    <n v="2023"/>
  </r>
  <r>
    <n v="197"/>
    <d v="2023-03-06T00:00:00"/>
    <x v="5"/>
    <s v="CUST197"/>
    <s v="Female"/>
    <n v="42"/>
    <x v="1"/>
    <n v="4"/>
    <n v="50"/>
    <n v="200"/>
    <n v="200"/>
    <n v="2023"/>
  </r>
  <r>
    <n v="198"/>
    <d v="2023-03-07T00:00:00"/>
    <x v="5"/>
    <s v="CUST198"/>
    <s v="Female"/>
    <n v="54"/>
    <x v="0"/>
    <n v="3"/>
    <n v="300"/>
    <n v="900"/>
    <n v="900"/>
    <n v="2023"/>
  </r>
  <r>
    <n v="199"/>
    <d v="2023-12-04T00:00:00"/>
    <x v="6"/>
    <s v="CUST199"/>
    <s v="Male"/>
    <n v="45"/>
    <x v="0"/>
    <n v="3"/>
    <n v="500"/>
    <n v="1500"/>
    <n v="1500"/>
    <n v="2023"/>
  </r>
  <r>
    <n v="200"/>
    <d v="2023-09-01T00:00:00"/>
    <x v="9"/>
    <s v="CUST200"/>
    <s v="Male"/>
    <n v="27"/>
    <x v="0"/>
    <n v="3"/>
    <n v="50"/>
    <n v="150"/>
    <n v="150"/>
    <n v="2023"/>
  </r>
  <r>
    <n v="201"/>
    <d v="2023-10-09T00:00:00"/>
    <x v="7"/>
    <s v="CUST201"/>
    <s v="Male"/>
    <n v="56"/>
    <x v="2"/>
    <n v="1"/>
    <n v="25"/>
    <n v="25"/>
    <n v="25"/>
    <n v="2023"/>
  </r>
  <r>
    <n v="202"/>
    <d v="2023-03-26T00:00:00"/>
    <x v="5"/>
    <s v="CUST202"/>
    <s v="Female"/>
    <n v="34"/>
    <x v="1"/>
    <n v="4"/>
    <n v="300"/>
    <n v="1200"/>
    <n v="1200"/>
    <n v="2023"/>
  </r>
  <r>
    <n v="203"/>
    <d v="2023-05-16T00:00:00"/>
    <x v="3"/>
    <s v="CUST203"/>
    <s v="Male"/>
    <n v="56"/>
    <x v="1"/>
    <n v="2"/>
    <n v="500"/>
    <n v="1000"/>
    <n v="1000"/>
    <n v="2023"/>
  </r>
  <r>
    <n v="204"/>
    <d v="2023-09-28T00:00:00"/>
    <x v="9"/>
    <s v="CUST204"/>
    <s v="Male"/>
    <n v="39"/>
    <x v="0"/>
    <n v="1"/>
    <n v="25"/>
    <n v="25"/>
    <n v="25"/>
    <n v="2023"/>
  </r>
  <r>
    <n v="205"/>
    <d v="2023-11-07T00:00:00"/>
    <x v="0"/>
    <s v="CUST205"/>
    <s v="Female"/>
    <n v="43"/>
    <x v="1"/>
    <n v="1"/>
    <n v="25"/>
    <n v="25"/>
    <n v="25"/>
    <n v="2023"/>
  </r>
  <r>
    <n v="206"/>
    <d v="2023-08-05T00:00:00"/>
    <x v="8"/>
    <s v="CUST206"/>
    <s v="Male"/>
    <n v="61"/>
    <x v="1"/>
    <n v="1"/>
    <n v="25"/>
    <n v="25"/>
    <n v="25"/>
    <n v="2023"/>
  </r>
  <r>
    <n v="207"/>
    <d v="2023-04-19T00:00:00"/>
    <x v="4"/>
    <s v="CUST207"/>
    <s v="Female"/>
    <n v="42"/>
    <x v="0"/>
    <n v="2"/>
    <n v="25"/>
    <n v="50"/>
    <n v="50"/>
    <n v="2023"/>
  </r>
  <r>
    <n v="208"/>
    <d v="2023-10-04T00:00:00"/>
    <x v="7"/>
    <s v="CUST208"/>
    <s v="Female"/>
    <n v="34"/>
    <x v="2"/>
    <n v="4"/>
    <n v="50"/>
    <n v="200"/>
    <n v="200"/>
    <n v="2023"/>
  </r>
  <r>
    <n v="209"/>
    <d v="2023-12-20T00:00:00"/>
    <x v="6"/>
    <s v="CUST209"/>
    <s v="Female"/>
    <n v="30"/>
    <x v="2"/>
    <n v="4"/>
    <n v="50"/>
    <n v="200"/>
    <n v="200"/>
    <n v="2023"/>
  </r>
  <r>
    <n v="210"/>
    <d v="2023-04-13T00:00:00"/>
    <x v="4"/>
    <s v="CUST210"/>
    <s v="Male"/>
    <n v="37"/>
    <x v="2"/>
    <n v="4"/>
    <n v="50"/>
    <n v="200"/>
    <n v="200"/>
    <n v="2023"/>
  </r>
  <r>
    <n v="211"/>
    <d v="2024-01-01T00:00:00"/>
    <x v="2"/>
    <s v="CUST211"/>
    <s v="Male"/>
    <n v="42"/>
    <x v="0"/>
    <n v="3"/>
    <n v="500"/>
    <n v="1500"/>
    <n v="1500"/>
    <n v="2024"/>
  </r>
  <r>
    <n v="212"/>
    <d v="2023-06-09T00:00:00"/>
    <x v="10"/>
    <s v="CUST212"/>
    <s v="Male"/>
    <n v="21"/>
    <x v="1"/>
    <n v="3"/>
    <n v="500"/>
    <n v="1500"/>
    <n v="1500"/>
    <n v="2023"/>
  </r>
  <r>
    <n v="213"/>
    <d v="2023-07-24T00:00:00"/>
    <x v="11"/>
    <s v="CUST213"/>
    <s v="Male"/>
    <n v="27"/>
    <x v="0"/>
    <n v="3"/>
    <n v="500"/>
    <n v="1500"/>
    <n v="1500"/>
    <n v="2023"/>
  </r>
  <r>
    <n v="214"/>
    <d v="2023-12-10T00:00:00"/>
    <x v="6"/>
    <s v="CUST214"/>
    <s v="Male"/>
    <n v="20"/>
    <x v="0"/>
    <n v="2"/>
    <n v="30"/>
    <n v="60"/>
    <n v="60"/>
    <n v="2023"/>
  </r>
  <r>
    <n v="215"/>
    <d v="2023-11-29T00:00:00"/>
    <x v="0"/>
    <s v="CUST215"/>
    <s v="Male"/>
    <n v="58"/>
    <x v="1"/>
    <n v="3"/>
    <n v="500"/>
    <n v="1500"/>
    <n v="1500"/>
    <n v="2023"/>
  </r>
  <r>
    <n v="216"/>
    <d v="2023-07-11T00:00:00"/>
    <x v="11"/>
    <s v="CUST216"/>
    <s v="Male"/>
    <n v="62"/>
    <x v="2"/>
    <n v="2"/>
    <n v="50"/>
    <n v="100"/>
    <n v="100"/>
    <n v="2023"/>
  </r>
  <r>
    <n v="217"/>
    <d v="2023-08-13T00:00:00"/>
    <x v="8"/>
    <s v="CUST217"/>
    <s v="Female"/>
    <n v="35"/>
    <x v="2"/>
    <n v="4"/>
    <n v="50"/>
    <n v="200"/>
    <n v="200"/>
    <n v="2023"/>
  </r>
  <r>
    <n v="218"/>
    <d v="2023-09-22T00:00:00"/>
    <x v="9"/>
    <s v="CUST218"/>
    <s v="Male"/>
    <n v="64"/>
    <x v="0"/>
    <n v="3"/>
    <n v="30"/>
    <n v="90"/>
    <n v="90"/>
    <n v="2023"/>
  </r>
  <r>
    <n v="219"/>
    <d v="2023-08-20T00:00:00"/>
    <x v="8"/>
    <s v="CUST219"/>
    <s v="Female"/>
    <n v="53"/>
    <x v="2"/>
    <n v="3"/>
    <n v="30"/>
    <n v="90"/>
    <n v="90"/>
    <n v="2023"/>
  </r>
  <r>
    <n v="220"/>
    <d v="2023-03-03T00:00:00"/>
    <x v="5"/>
    <s v="CUST220"/>
    <s v="Male"/>
    <n v="64"/>
    <x v="0"/>
    <n v="1"/>
    <n v="500"/>
    <n v="500"/>
    <n v="500"/>
    <n v="2023"/>
  </r>
  <r>
    <n v="221"/>
    <d v="2023-05-07T00:00:00"/>
    <x v="3"/>
    <s v="CUST221"/>
    <s v="Male"/>
    <n v="39"/>
    <x v="0"/>
    <n v="2"/>
    <n v="300"/>
    <n v="600"/>
    <n v="600"/>
    <n v="2023"/>
  </r>
  <r>
    <n v="222"/>
    <d v="2023-04-26T00:00:00"/>
    <x v="4"/>
    <s v="CUST222"/>
    <s v="Male"/>
    <n v="51"/>
    <x v="1"/>
    <n v="4"/>
    <n v="30"/>
    <n v="120"/>
    <n v="120"/>
    <n v="2023"/>
  </r>
  <r>
    <n v="223"/>
    <d v="2023-02-02T00:00:00"/>
    <x v="1"/>
    <s v="CUST223"/>
    <s v="Female"/>
    <n v="64"/>
    <x v="1"/>
    <n v="1"/>
    <n v="25"/>
    <n v="25"/>
    <n v="25"/>
    <n v="2023"/>
  </r>
  <r>
    <n v="224"/>
    <d v="2023-06-23T00:00:00"/>
    <x v="10"/>
    <s v="CUST224"/>
    <s v="Female"/>
    <n v="25"/>
    <x v="1"/>
    <n v="1"/>
    <n v="50"/>
    <n v="50"/>
    <n v="50"/>
    <n v="2023"/>
  </r>
  <r>
    <n v="225"/>
    <d v="2023-01-11T00:00:00"/>
    <x v="2"/>
    <s v="CUST225"/>
    <s v="Female"/>
    <n v="57"/>
    <x v="0"/>
    <n v="4"/>
    <n v="25"/>
    <n v="100"/>
    <n v="100"/>
    <n v="2023"/>
  </r>
  <r>
    <n v="226"/>
    <d v="2023-10-29T00:00:00"/>
    <x v="7"/>
    <s v="CUST226"/>
    <s v="Female"/>
    <n v="61"/>
    <x v="1"/>
    <n v="1"/>
    <n v="50"/>
    <n v="50"/>
    <n v="50"/>
    <n v="2023"/>
  </r>
  <r>
    <n v="227"/>
    <d v="2023-10-11T00:00:00"/>
    <x v="7"/>
    <s v="CUST227"/>
    <s v="Male"/>
    <n v="36"/>
    <x v="2"/>
    <n v="2"/>
    <n v="50"/>
    <n v="100"/>
    <n v="100"/>
    <n v="2023"/>
  </r>
  <r>
    <n v="228"/>
    <d v="2023-04-28T00:00:00"/>
    <x v="4"/>
    <s v="CUST228"/>
    <s v="Female"/>
    <n v="59"/>
    <x v="2"/>
    <n v="2"/>
    <n v="30"/>
    <n v="60"/>
    <n v="60"/>
    <n v="2023"/>
  </r>
  <r>
    <n v="229"/>
    <d v="2023-10-29T00:00:00"/>
    <x v="7"/>
    <s v="CUST229"/>
    <s v="Male"/>
    <n v="58"/>
    <x v="0"/>
    <n v="3"/>
    <n v="30"/>
    <n v="90"/>
    <n v="90"/>
    <n v="2023"/>
  </r>
  <r>
    <n v="230"/>
    <d v="2023-04-23T00:00:00"/>
    <x v="4"/>
    <s v="CUST230"/>
    <s v="Male"/>
    <n v="54"/>
    <x v="0"/>
    <n v="1"/>
    <n v="25"/>
    <n v="25"/>
    <n v="25"/>
    <n v="2023"/>
  </r>
  <r>
    <n v="231"/>
    <d v="2023-01-04T00:00:00"/>
    <x v="2"/>
    <s v="CUST231"/>
    <s v="Female"/>
    <n v="23"/>
    <x v="1"/>
    <n v="3"/>
    <n v="50"/>
    <n v="150"/>
    <n v="150"/>
    <n v="2023"/>
  </r>
  <r>
    <n v="232"/>
    <d v="2023-02-06T00:00:00"/>
    <x v="1"/>
    <s v="CUST232"/>
    <s v="Female"/>
    <n v="43"/>
    <x v="0"/>
    <n v="1"/>
    <n v="25"/>
    <n v="25"/>
    <n v="25"/>
    <n v="2023"/>
  </r>
  <r>
    <n v="233"/>
    <d v="2023-12-29T00:00:00"/>
    <x v="6"/>
    <s v="CUST233"/>
    <s v="Female"/>
    <n v="51"/>
    <x v="0"/>
    <n v="2"/>
    <n v="300"/>
    <n v="600"/>
    <n v="600"/>
    <n v="2023"/>
  </r>
  <r>
    <n v="234"/>
    <d v="2023-11-20T00:00:00"/>
    <x v="0"/>
    <s v="CUST234"/>
    <s v="Female"/>
    <n v="62"/>
    <x v="2"/>
    <n v="2"/>
    <n v="25"/>
    <n v="50"/>
    <n v="50"/>
    <n v="2023"/>
  </r>
  <r>
    <n v="235"/>
    <d v="2023-01-31T00:00:00"/>
    <x v="2"/>
    <s v="CUST235"/>
    <s v="Female"/>
    <n v="23"/>
    <x v="2"/>
    <n v="2"/>
    <n v="500"/>
    <n v="1000"/>
    <n v="1000"/>
    <n v="2023"/>
  </r>
  <r>
    <n v="236"/>
    <d v="2023-04-28T00:00:00"/>
    <x v="4"/>
    <s v="CUST236"/>
    <s v="Female"/>
    <n v="54"/>
    <x v="1"/>
    <n v="1"/>
    <n v="25"/>
    <n v="25"/>
    <n v="25"/>
    <n v="2023"/>
  </r>
  <r>
    <n v="237"/>
    <d v="2023-02-04T00:00:00"/>
    <x v="1"/>
    <s v="CUST237"/>
    <s v="Female"/>
    <n v="50"/>
    <x v="0"/>
    <n v="2"/>
    <n v="500"/>
    <n v="1000"/>
    <n v="1000"/>
    <n v="2023"/>
  </r>
  <r>
    <n v="238"/>
    <d v="2023-01-17T00:00:00"/>
    <x v="2"/>
    <s v="CUST238"/>
    <s v="Female"/>
    <n v="39"/>
    <x v="0"/>
    <n v="1"/>
    <n v="500"/>
    <n v="500"/>
    <n v="500"/>
    <n v="2023"/>
  </r>
  <r>
    <n v="239"/>
    <d v="2023-06-19T00:00:00"/>
    <x v="10"/>
    <s v="CUST239"/>
    <s v="Male"/>
    <n v="38"/>
    <x v="2"/>
    <n v="3"/>
    <n v="500"/>
    <n v="1500"/>
    <n v="1500"/>
    <n v="2023"/>
  </r>
  <r>
    <n v="240"/>
    <d v="2023-02-06T00:00:00"/>
    <x v="1"/>
    <s v="CUST240"/>
    <s v="Female"/>
    <n v="23"/>
    <x v="0"/>
    <n v="1"/>
    <n v="300"/>
    <n v="300"/>
    <n v="300"/>
    <n v="2023"/>
  </r>
  <r>
    <n v="241"/>
    <d v="2023-09-21T00:00:00"/>
    <x v="9"/>
    <s v="CUST241"/>
    <s v="Female"/>
    <n v="23"/>
    <x v="2"/>
    <n v="3"/>
    <n v="25"/>
    <n v="75"/>
    <n v="75"/>
    <n v="2023"/>
  </r>
  <r>
    <n v="242"/>
    <d v="2023-05-02T00:00:00"/>
    <x v="3"/>
    <s v="CUST242"/>
    <s v="Male"/>
    <n v="21"/>
    <x v="1"/>
    <n v="1"/>
    <n v="25"/>
    <n v="25"/>
    <n v="25"/>
    <n v="2023"/>
  </r>
  <r>
    <n v="243"/>
    <d v="2023-05-23T00:00:00"/>
    <x v="3"/>
    <s v="CUST243"/>
    <s v="Female"/>
    <n v="47"/>
    <x v="2"/>
    <n v="3"/>
    <n v="300"/>
    <n v="900"/>
    <n v="900"/>
    <n v="2023"/>
  </r>
  <r>
    <n v="244"/>
    <d v="2023-12-09T00:00:00"/>
    <x v="6"/>
    <s v="CUST244"/>
    <s v="Male"/>
    <n v="28"/>
    <x v="0"/>
    <n v="2"/>
    <n v="50"/>
    <n v="100"/>
    <n v="100"/>
    <n v="2023"/>
  </r>
  <r>
    <n v="245"/>
    <d v="2023-09-06T00:00:00"/>
    <x v="9"/>
    <s v="CUST245"/>
    <s v="Male"/>
    <n v="47"/>
    <x v="1"/>
    <n v="3"/>
    <n v="30"/>
    <n v="90"/>
    <n v="90"/>
    <n v="2023"/>
  </r>
  <r>
    <n v="246"/>
    <d v="2023-04-20T00:00:00"/>
    <x v="4"/>
    <s v="CUST246"/>
    <s v="Female"/>
    <n v="48"/>
    <x v="2"/>
    <n v="2"/>
    <n v="25"/>
    <n v="50"/>
    <n v="50"/>
    <n v="2023"/>
  </r>
  <r>
    <n v="247"/>
    <d v="2023-10-04T00:00:00"/>
    <x v="7"/>
    <s v="CUST247"/>
    <s v="Male"/>
    <n v="41"/>
    <x v="2"/>
    <n v="2"/>
    <n v="30"/>
    <n v="60"/>
    <n v="60"/>
    <n v="2023"/>
  </r>
  <r>
    <n v="248"/>
    <d v="2023-03-09T00:00:00"/>
    <x v="5"/>
    <s v="CUST248"/>
    <s v="Male"/>
    <n v="26"/>
    <x v="1"/>
    <n v="3"/>
    <n v="300"/>
    <n v="900"/>
    <n v="900"/>
    <n v="2023"/>
  </r>
  <r>
    <n v="249"/>
    <d v="2023-10-20T00:00:00"/>
    <x v="7"/>
    <s v="CUST249"/>
    <s v="Male"/>
    <n v="20"/>
    <x v="1"/>
    <n v="1"/>
    <n v="50"/>
    <n v="50"/>
    <n v="50"/>
    <n v="2023"/>
  </r>
  <r>
    <n v="250"/>
    <d v="2023-10-23T00:00:00"/>
    <x v="7"/>
    <s v="CUST250"/>
    <s v="Male"/>
    <n v="48"/>
    <x v="2"/>
    <n v="1"/>
    <n v="50"/>
    <n v="50"/>
    <n v="50"/>
    <n v="2023"/>
  </r>
  <r>
    <n v="251"/>
    <d v="2023-08-31T00:00:00"/>
    <x v="8"/>
    <s v="CUST251"/>
    <s v="Female"/>
    <n v="57"/>
    <x v="0"/>
    <n v="4"/>
    <n v="50"/>
    <n v="200"/>
    <n v="200"/>
    <n v="2023"/>
  </r>
  <r>
    <n v="252"/>
    <d v="2023-05-05T00:00:00"/>
    <x v="3"/>
    <s v="CUST252"/>
    <s v="Male"/>
    <n v="54"/>
    <x v="2"/>
    <n v="1"/>
    <n v="300"/>
    <n v="300"/>
    <n v="300"/>
    <n v="2023"/>
  </r>
  <r>
    <n v="253"/>
    <d v="2023-08-31T00:00:00"/>
    <x v="8"/>
    <s v="CUST253"/>
    <s v="Female"/>
    <n v="53"/>
    <x v="1"/>
    <n v="4"/>
    <n v="500"/>
    <n v="2000"/>
    <n v="2000"/>
    <n v="2023"/>
  </r>
  <r>
    <n v="254"/>
    <d v="2023-07-28T00:00:00"/>
    <x v="11"/>
    <s v="CUST254"/>
    <s v="Male"/>
    <n v="41"/>
    <x v="2"/>
    <n v="1"/>
    <n v="500"/>
    <n v="500"/>
    <n v="500"/>
    <n v="2023"/>
  </r>
  <r>
    <n v="255"/>
    <d v="2023-04-08T00:00:00"/>
    <x v="4"/>
    <s v="CUST255"/>
    <s v="Male"/>
    <n v="48"/>
    <x v="1"/>
    <n v="1"/>
    <n v="30"/>
    <n v="30"/>
    <n v="30"/>
    <n v="2023"/>
  </r>
  <r>
    <n v="256"/>
    <d v="2023-02-18T00:00:00"/>
    <x v="1"/>
    <s v="CUST256"/>
    <s v="Male"/>
    <n v="23"/>
    <x v="1"/>
    <n v="2"/>
    <n v="500"/>
    <n v="1000"/>
    <n v="1000"/>
    <n v="2023"/>
  </r>
  <r>
    <n v="257"/>
    <d v="2023-02-19T00:00:00"/>
    <x v="1"/>
    <s v="CUST257"/>
    <s v="Male"/>
    <n v="19"/>
    <x v="0"/>
    <n v="4"/>
    <n v="500"/>
    <n v="2000"/>
    <n v="2000"/>
    <n v="2023"/>
  </r>
  <r>
    <n v="258"/>
    <d v="2023-12-04T00:00:00"/>
    <x v="6"/>
    <s v="CUST258"/>
    <s v="Female"/>
    <n v="37"/>
    <x v="1"/>
    <n v="1"/>
    <n v="50"/>
    <n v="50"/>
    <n v="50"/>
    <n v="2023"/>
  </r>
  <r>
    <n v="259"/>
    <d v="2023-08-09T00:00:00"/>
    <x v="8"/>
    <s v="CUST259"/>
    <s v="Female"/>
    <n v="45"/>
    <x v="1"/>
    <n v="4"/>
    <n v="50"/>
    <n v="200"/>
    <n v="200"/>
    <n v="2023"/>
  </r>
  <r>
    <n v="260"/>
    <d v="2023-07-01T00:00:00"/>
    <x v="11"/>
    <s v="CUST260"/>
    <s v="Male"/>
    <n v="28"/>
    <x v="0"/>
    <n v="2"/>
    <n v="30"/>
    <n v="60"/>
    <n v="60"/>
    <n v="2023"/>
  </r>
  <r>
    <n v="261"/>
    <d v="2023-08-05T00:00:00"/>
    <x v="8"/>
    <s v="CUST261"/>
    <s v="Male"/>
    <n v="21"/>
    <x v="1"/>
    <n v="2"/>
    <n v="25"/>
    <n v="50"/>
    <n v="50"/>
    <n v="2023"/>
  </r>
  <r>
    <n v="262"/>
    <d v="2023-07-30T00:00:00"/>
    <x v="11"/>
    <s v="CUST262"/>
    <s v="Female"/>
    <n v="32"/>
    <x v="0"/>
    <n v="4"/>
    <n v="30"/>
    <n v="120"/>
    <n v="120"/>
    <n v="2023"/>
  </r>
  <r>
    <n v="263"/>
    <d v="2023-08-28T00:00:00"/>
    <x v="8"/>
    <s v="CUST263"/>
    <s v="Male"/>
    <n v="23"/>
    <x v="0"/>
    <n v="2"/>
    <n v="30"/>
    <n v="60"/>
    <n v="60"/>
    <n v="2023"/>
  </r>
  <r>
    <n v="264"/>
    <d v="2023-01-28T00:00:00"/>
    <x v="2"/>
    <s v="CUST264"/>
    <s v="Male"/>
    <n v="47"/>
    <x v="1"/>
    <n v="3"/>
    <n v="300"/>
    <n v="900"/>
    <n v="900"/>
    <n v="2023"/>
  </r>
  <r>
    <n v="265"/>
    <d v="2023-12-11T00:00:00"/>
    <x v="6"/>
    <s v="CUST265"/>
    <s v="Male"/>
    <n v="55"/>
    <x v="1"/>
    <n v="3"/>
    <n v="300"/>
    <n v="900"/>
    <n v="900"/>
    <n v="2023"/>
  </r>
  <r>
    <n v="266"/>
    <d v="2023-12-01T00:00:00"/>
    <x v="6"/>
    <s v="CUST266"/>
    <s v="Female"/>
    <n v="19"/>
    <x v="2"/>
    <n v="2"/>
    <n v="30"/>
    <n v="60"/>
    <n v="60"/>
    <n v="2023"/>
  </r>
  <r>
    <n v="267"/>
    <d v="2023-11-27T00:00:00"/>
    <x v="0"/>
    <s v="CUST267"/>
    <s v="Female"/>
    <n v="32"/>
    <x v="0"/>
    <n v="3"/>
    <n v="30"/>
    <n v="90"/>
    <n v="90"/>
    <n v="2023"/>
  </r>
  <r>
    <n v="268"/>
    <d v="2023-02-20T00:00:00"/>
    <x v="1"/>
    <s v="CUST268"/>
    <s v="Female"/>
    <n v="28"/>
    <x v="2"/>
    <n v="1"/>
    <n v="30"/>
    <n v="30"/>
    <n v="30"/>
    <n v="2023"/>
  </r>
  <r>
    <n v="269"/>
    <d v="2023-02-01T00:00:00"/>
    <x v="1"/>
    <s v="CUST269"/>
    <s v="Male"/>
    <n v="25"/>
    <x v="1"/>
    <n v="4"/>
    <n v="500"/>
    <n v="2000"/>
    <n v="2000"/>
    <n v="2023"/>
  </r>
  <r>
    <n v="270"/>
    <d v="2023-07-26T00:00:00"/>
    <x v="11"/>
    <s v="CUST270"/>
    <s v="Male"/>
    <n v="43"/>
    <x v="2"/>
    <n v="1"/>
    <n v="300"/>
    <n v="300"/>
    <n v="300"/>
    <n v="2023"/>
  </r>
  <r>
    <n v="271"/>
    <d v="2023-06-23T00:00:00"/>
    <x v="10"/>
    <s v="CUST271"/>
    <s v="Female"/>
    <n v="62"/>
    <x v="0"/>
    <n v="4"/>
    <n v="30"/>
    <n v="120"/>
    <n v="120"/>
    <n v="2023"/>
  </r>
  <r>
    <n v="272"/>
    <d v="2023-02-25T00:00:00"/>
    <x v="1"/>
    <s v="CUST272"/>
    <s v="Female"/>
    <n v="61"/>
    <x v="2"/>
    <n v="2"/>
    <n v="50"/>
    <n v="100"/>
    <n v="100"/>
    <n v="2023"/>
  </r>
  <r>
    <n v="273"/>
    <d v="2023-05-08T00:00:00"/>
    <x v="3"/>
    <s v="CUST273"/>
    <s v="Female"/>
    <n v="22"/>
    <x v="0"/>
    <n v="1"/>
    <n v="50"/>
    <n v="50"/>
    <n v="50"/>
    <n v="2023"/>
  </r>
  <r>
    <n v="274"/>
    <d v="2023-04-09T00:00:00"/>
    <x v="4"/>
    <s v="CUST274"/>
    <s v="Female"/>
    <n v="23"/>
    <x v="1"/>
    <n v="2"/>
    <n v="500"/>
    <n v="1000"/>
    <n v="1000"/>
    <n v="2023"/>
  </r>
  <r>
    <n v="275"/>
    <d v="2023-04-08T00:00:00"/>
    <x v="4"/>
    <s v="CUST275"/>
    <s v="Male"/>
    <n v="43"/>
    <x v="1"/>
    <n v="2"/>
    <n v="500"/>
    <n v="1000"/>
    <n v="1000"/>
    <n v="2023"/>
  </r>
  <r>
    <n v="276"/>
    <d v="2023-10-02T00:00:00"/>
    <x v="7"/>
    <s v="CUST276"/>
    <s v="Female"/>
    <n v="21"/>
    <x v="0"/>
    <n v="4"/>
    <n v="25"/>
    <n v="100"/>
    <n v="100"/>
    <n v="2023"/>
  </r>
  <r>
    <n v="277"/>
    <d v="2023-08-18T00:00:00"/>
    <x v="8"/>
    <s v="CUST277"/>
    <s v="Male"/>
    <n v="36"/>
    <x v="1"/>
    <n v="4"/>
    <n v="25"/>
    <n v="100"/>
    <n v="100"/>
    <n v="2023"/>
  </r>
  <r>
    <n v="278"/>
    <d v="2023-03-13T00:00:00"/>
    <x v="5"/>
    <s v="CUST278"/>
    <s v="Female"/>
    <n v="37"/>
    <x v="1"/>
    <n v="4"/>
    <n v="25"/>
    <n v="100"/>
    <n v="100"/>
    <n v="2023"/>
  </r>
  <r>
    <n v="279"/>
    <d v="2023-08-05T00:00:00"/>
    <x v="8"/>
    <s v="CUST279"/>
    <s v="Male"/>
    <n v="50"/>
    <x v="1"/>
    <n v="1"/>
    <n v="500"/>
    <n v="500"/>
    <n v="500"/>
    <n v="2023"/>
  </r>
  <r>
    <n v="280"/>
    <d v="2023-04-04T00:00:00"/>
    <x v="4"/>
    <s v="CUST280"/>
    <s v="Female"/>
    <n v="37"/>
    <x v="1"/>
    <n v="3"/>
    <n v="500"/>
    <n v="1500"/>
    <n v="1500"/>
    <n v="2023"/>
  </r>
  <r>
    <n v="281"/>
    <d v="2023-05-23T00:00:00"/>
    <x v="3"/>
    <s v="CUST281"/>
    <s v="Female"/>
    <n v="29"/>
    <x v="0"/>
    <n v="4"/>
    <n v="500"/>
    <n v="2000"/>
    <n v="2000"/>
    <n v="2023"/>
  </r>
  <r>
    <n v="282"/>
    <d v="2023-08-25T00:00:00"/>
    <x v="8"/>
    <s v="CUST282"/>
    <s v="Female"/>
    <n v="64"/>
    <x v="2"/>
    <n v="4"/>
    <n v="50"/>
    <n v="200"/>
    <n v="200"/>
    <n v="2023"/>
  </r>
  <r>
    <n v="283"/>
    <d v="2023-05-08T00:00:00"/>
    <x v="3"/>
    <s v="CUST283"/>
    <s v="Female"/>
    <n v="18"/>
    <x v="2"/>
    <n v="1"/>
    <n v="500"/>
    <n v="500"/>
    <n v="500"/>
    <n v="2023"/>
  </r>
  <r>
    <n v="284"/>
    <d v="2023-02-08T00:00:00"/>
    <x v="1"/>
    <s v="CUST284"/>
    <s v="Male"/>
    <n v="43"/>
    <x v="1"/>
    <n v="4"/>
    <n v="50"/>
    <n v="200"/>
    <n v="200"/>
    <n v="2023"/>
  </r>
  <r>
    <n v="285"/>
    <d v="2023-08-15T00:00:00"/>
    <x v="8"/>
    <s v="CUST285"/>
    <s v="Female"/>
    <n v="31"/>
    <x v="2"/>
    <n v="1"/>
    <n v="25"/>
    <n v="25"/>
    <n v="25"/>
    <n v="2023"/>
  </r>
  <r>
    <n v="286"/>
    <d v="2023-10-09T00:00:00"/>
    <x v="7"/>
    <s v="CUST286"/>
    <s v="Male"/>
    <n v="55"/>
    <x v="2"/>
    <n v="2"/>
    <n v="25"/>
    <n v="50"/>
    <n v="50"/>
    <n v="2023"/>
  </r>
  <r>
    <n v="287"/>
    <d v="2023-02-20T00:00:00"/>
    <x v="1"/>
    <s v="CUST287"/>
    <s v="Male"/>
    <n v="54"/>
    <x v="1"/>
    <n v="4"/>
    <n v="25"/>
    <n v="100"/>
    <n v="100"/>
    <n v="2023"/>
  </r>
  <r>
    <n v="288"/>
    <d v="2023-01-26T00:00:00"/>
    <x v="2"/>
    <s v="CUST288"/>
    <s v="Male"/>
    <n v="28"/>
    <x v="1"/>
    <n v="4"/>
    <n v="30"/>
    <n v="120"/>
    <n v="120"/>
    <n v="2023"/>
  </r>
  <r>
    <n v="289"/>
    <d v="2023-11-30T00:00:00"/>
    <x v="0"/>
    <s v="CUST289"/>
    <s v="Male"/>
    <n v="53"/>
    <x v="2"/>
    <n v="2"/>
    <n v="30"/>
    <n v="60"/>
    <n v="60"/>
    <n v="2023"/>
  </r>
  <r>
    <n v="290"/>
    <d v="2023-10-04T00:00:00"/>
    <x v="7"/>
    <s v="CUST290"/>
    <s v="Female"/>
    <n v="30"/>
    <x v="0"/>
    <n v="2"/>
    <n v="300"/>
    <n v="600"/>
    <n v="600"/>
    <n v="2023"/>
  </r>
  <r>
    <n v="291"/>
    <d v="2023-01-08T00:00:00"/>
    <x v="2"/>
    <s v="CUST291"/>
    <s v="Male"/>
    <n v="60"/>
    <x v="1"/>
    <n v="2"/>
    <n v="300"/>
    <n v="600"/>
    <n v="600"/>
    <n v="2023"/>
  </r>
  <r>
    <n v="292"/>
    <d v="2023-02-17T00:00:00"/>
    <x v="1"/>
    <s v="CUST292"/>
    <s v="Male"/>
    <n v="20"/>
    <x v="0"/>
    <n v="4"/>
    <n v="300"/>
    <n v="1200"/>
    <n v="1200"/>
    <n v="2023"/>
  </r>
  <r>
    <n v="293"/>
    <d v="2023-05-02T00:00:00"/>
    <x v="3"/>
    <s v="CUST293"/>
    <s v="Male"/>
    <n v="50"/>
    <x v="2"/>
    <n v="3"/>
    <n v="30"/>
    <n v="90"/>
    <n v="90"/>
    <n v="2023"/>
  </r>
  <r>
    <n v="294"/>
    <d v="2023-03-27T00:00:00"/>
    <x v="5"/>
    <s v="CUST294"/>
    <s v="Female"/>
    <n v="23"/>
    <x v="1"/>
    <n v="3"/>
    <n v="30"/>
    <n v="90"/>
    <n v="90"/>
    <n v="2023"/>
  </r>
  <r>
    <n v="295"/>
    <d v="2023-07-28T00:00:00"/>
    <x v="11"/>
    <s v="CUST295"/>
    <s v="Female"/>
    <n v="27"/>
    <x v="0"/>
    <n v="3"/>
    <n v="300"/>
    <n v="900"/>
    <n v="900"/>
    <n v="2023"/>
  </r>
  <r>
    <n v="296"/>
    <d v="2023-09-06T00:00:00"/>
    <x v="9"/>
    <s v="CUST296"/>
    <s v="Female"/>
    <n v="22"/>
    <x v="1"/>
    <n v="4"/>
    <n v="300"/>
    <n v="1200"/>
    <n v="1200"/>
    <n v="2023"/>
  </r>
  <r>
    <n v="297"/>
    <d v="2023-09-04T00:00:00"/>
    <x v="9"/>
    <s v="CUST297"/>
    <s v="Female"/>
    <n v="40"/>
    <x v="2"/>
    <n v="2"/>
    <n v="500"/>
    <n v="1000"/>
    <n v="1000"/>
    <n v="2023"/>
  </r>
  <r>
    <n v="298"/>
    <d v="2023-04-20T00:00:00"/>
    <x v="4"/>
    <s v="CUST298"/>
    <s v="Male"/>
    <n v="27"/>
    <x v="0"/>
    <n v="4"/>
    <n v="300"/>
    <n v="1200"/>
    <n v="1200"/>
    <n v="2023"/>
  </r>
  <r>
    <n v="299"/>
    <d v="2023-07-25T00:00:00"/>
    <x v="11"/>
    <s v="CUST299"/>
    <s v="Male"/>
    <n v="61"/>
    <x v="2"/>
    <n v="2"/>
    <n v="500"/>
    <n v="1000"/>
    <n v="1000"/>
    <n v="2023"/>
  </r>
  <r>
    <n v="300"/>
    <d v="2023-01-31T00:00:00"/>
    <x v="2"/>
    <s v="CUST300"/>
    <s v="Female"/>
    <n v="19"/>
    <x v="2"/>
    <n v="4"/>
    <n v="50"/>
    <n v="200"/>
    <n v="200"/>
    <n v="2023"/>
  </r>
  <r>
    <n v="301"/>
    <d v="2023-03-26T00:00:00"/>
    <x v="5"/>
    <s v="CUST301"/>
    <s v="Male"/>
    <n v="30"/>
    <x v="1"/>
    <n v="4"/>
    <n v="30"/>
    <n v="120"/>
    <n v="120"/>
    <n v="2023"/>
  </r>
  <r>
    <n v="302"/>
    <d v="2023-07-14T00:00:00"/>
    <x v="11"/>
    <s v="CUST302"/>
    <s v="Male"/>
    <n v="57"/>
    <x v="0"/>
    <n v="2"/>
    <n v="300"/>
    <n v="600"/>
    <n v="600"/>
    <n v="2023"/>
  </r>
  <r>
    <n v="303"/>
    <d v="2023-01-02T00:00:00"/>
    <x v="2"/>
    <s v="CUST303"/>
    <s v="Male"/>
    <n v="19"/>
    <x v="2"/>
    <n v="3"/>
    <n v="30"/>
    <n v="90"/>
    <n v="90"/>
    <n v="2023"/>
  </r>
  <r>
    <n v="304"/>
    <d v="2023-07-19T00:00:00"/>
    <x v="11"/>
    <s v="CUST304"/>
    <s v="Female"/>
    <n v="37"/>
    <x v="2"/>
    <n v="2"/>
    <n v="30"/>
    <n v="60"/>
    <n v="60"/>
    <n v="2023"/>
  </r>
  <r>
    <n v="305"/>
    <d v="2023-05-16T00:00:00"/>
    <x v="3"/>
    <s v="CUST305"/>
    <s v="Female"/>
    <n v="18"/>
    <x v="0"/>
    <n v="1"/>
    <n v="30"/>
    <n v="30"/>
    <n v="30"/>
    <n v="2023"/>
  </r>
  <r>
    <n v="306"/>
    <d v="2023-08-21T00:00:00"/>
    <x v="8"/>
    <s v="CUST306"/>
    <s v="Male"/>
    <n v="54"/>
    <x v="2"/>
    <n v="1"/>
    <n v="50"/>
    <n v="50"/>
    <n v="50"/>
    <n v="2023"/>
  </r>
  <r>
    <n v="307"/>
    <d v="2023-05-27T00:00:00"/>
    <x v="3"/>
    <s v="CUST307"/>
    <s v="Female"/>
    <n v="26"/>
    <x v="2"/>
    <n v="2"/>
    <n v="25"/>
    <n v="50"/>
    <n v="50"/>
    <n v="2023"/>
  </r>
  <r>
    <n v="308"/>
    <d v="2023-08-05T00:00:00"/>
    <x v="8"/>
    <s v="CUST308"/>
    <s v="Female"/>
    <n v="34"/>
    <x v="0"/>
    <n v="4"/>
    <n v="300"/>
    <n v="1200"/>
    <n v="1200"/>
    <n v="2023"/>
  </r>
  <r>
    <n v="309"/>
    <d v="2023-12-23T00:00:00"/>
    <x v="6"/>
    <s v="CUST309"/>
    <s v="Female"/>
    <n v="26"/>
    <x v="0"/>
    <n v="1"/>
    <n v="25"/>
    <n v="25"/>
    <n v="25"/>
    <n v="2023"/>
  </r>
  <r>
    <n v="310"/>
    <d v="2023-10-12T00:00:00"/>
    <x v="7"/>
    <s v="CUST310"/>
    <s v="Female"/>
    <n v="28"/>
    <x v="0"/>
    <n v="1"/>
    <n v="25"/>
    <n v="25"/>
    <n v="25"/>
    <n v="2023"/>
  </r>
  <r>
    <n v="311"/>
    <d v="2023-12-05T00:00:00"/>
    <x v="6"/>
    <s v="CUST311"/>
    <s v="Female"/>
    <n v="32"/>
    <x v="0"/>
    <n v="4"/>
    <n v="25"/>
    <n v="100"/>
    <n v="100"/>
    <n v="2023"/>
  </r>
  <r>
    <n v="312"/>
    <d v="2023-09-07T00:00:00"/>
    <x v="9"/>
    <s v="CUST312"/>
    <s v="Male"/>
    <n v="41"/>
    <x v="1"/>
    <n v="4"/>
    <n v="30"/>
    <n v="120"/>
    <n v="120"/>
    <n v="2023"/>
  </r>
  <r>
    <n v="313"/>
    <d v="2023-03-21T00:00:00"/>
    <x v="5"/>
    <s v="CUST313"/>
    <s v="Female"/>
    <n v="55"/>
    <x v="0"/>
    <n v="3"/>
    <n v="500"/>
    <n v="1500"/>
    <n v="1500"/>
    <n v="2023"/>
  </r>
  <r>
    <n v="314"/>
    <d v="2023-04-08T00:00:00"/>
    <x v="4"/>
    <s v="CUST314"/>
    <s v="Male"/>
    <n v="52"/>
    <x v="1"/>
    <n v="4"/>
    <n v="30"/>
    <n v="120"/>
    <n v="120"/>
    <n v="2023"/>
  </r>
  <r>
    <n v="315"/>
    <d v="2023-06-01T00:00:00"/>
    <x v="10"/>
    <s v="CUST315"/>
    <s v="Male"/>
    <n v="47"/>
    <x v="1"/>
    <n v="2"/>
    <n v="30"/>
    <n v="60"/>
    <n v="60"/>
    <n v="2023"/>
  </r>
  <r>
    <n v="316"/>
    <d v="2023-04-22T00:00:00"/>
    <x v="4"/>
    <s v="CUST316"/>
    <s v="Female"/>
    <n v="48"/>
    <x v="1"/>
    <n v="2"/>
    <n v="25"/>
    <n v="50"/>
    <n v="50"/>
    <n v="2023"/>
  </r>
  <r>
    <n v="317"/>
    <d v="2023-01-30T00:00:00"/>
    <x v="2"/>
    <s v="CUST317"/>
    <s v="Male"/>
    <n v="22"/>
    <x v="2"/>
    <n v="3"/>
    <n v="30"/>
    <n v="90"/>
    <n v="90"/>
    <n v="2023"/>
  </r>
  <r>
    <n v="318"/>
    <d v="2023-10-24T00:00:00"/>
    <x v="7"/>
    <s v="CUST318"/>
    <s v="Male"/>
    <n v="61"/>
    <x v="1"/>
    <n v="1"/>
    <n v="25"/>
    <n v="25"/>
    <n v="25"/>
    <n v="2023"/>
  </r>
  <r>
    <n v="319"/>
    <d v="2023-10-05T00:00:00"/>
    <x v="7"/>
    <s v="CUST319"/>
    <s v="Male"/>
    <n v="31"/>
    <x v="1"/>
    <n v="1"/>
    <n v="500"/>
    <n v="500"/>
    <n v="500"/>
    <n v="2023"/>
  </r>
  <r>
    <n v="320"/>
    <d v="2023-02-01T00:00:00"/>
    <x v="1"/>
    <s v="CUST320"/>
    <s v="Female"/>
    <n v="28"/>
    <x v="2"/>
    <n v="4"/>
    <n v="300"/>
    <n v="1200"/>
    <n v="1200"/>
    <n v="2023"/>
  </r>
  <r>
    <n v="321"/>
    <d v="2023-06-10T00:00:00"/>
    <x v="10"/>
    <s v="CUST321"/>
    <s v="Female"/>
    <n v="26"/>
    <x v="2"/>
    <n v="2"/>
    <n v="25"/>
    <n v="50"/>
    <n v="50"/>
    <n v="2023"/>
  </r>
  <r>
    <n v="322"/>
    <d v="2023-01-30T00:00:00"/>
    <x v="2"/>
    <s v="CUST322"/>
    <s v="Male"/>
    <n v="51"/>
    <x v="2"/>
    <n v="1"/>
    <n v="500"/>
    <n v="500"/>
    <n v="500"/>
    <n v="2023"/>
  </r>
  <r>
    <n v="323"/>
    <d v="2023-01-26T00:00:00"/>
    <x v="2"/>
    <s v="CUST323"/>
    <s v="Female"/>
    <n v="29"/>
    <x v="0"/>
    <n v="3"/>
    <n v="300"/>
    <n v="900"/>
    <n v="900"/>
    <n v="2023"/>
  </r>
  <r>
    <n v="324"/>
    <d v="2023-10-27T00:00:00"/>
    <x v="7"/>
    <s v="CUST324"/>
    <s v="Female"/>
    <n v="52"/>
    <x v="2"/>
    <n v="3"/>
    <n v="50"/>
    <n v="150"/>
    <n v="150"/>
    <n v="2023"/>
  </r>
  <r>
    <n v="325"/>
    <d v="2023-09-02T00:00:00"/>
    <x v="9"/>
    <s v="CUST325"/>
    <s v="Female"/>
    <n v="52"/>
    <x v="2"/>
    <n v="2"/>
    <n v="25"/>
    <n v="50"/>
    <n v="50"/>
    <n v="2023"/>
  </r>
  <r>
    <n v="326"/>
    <d v="2023-09-15T00:00:00"/>
    <x v="9"/>
    <s v="CUST326"/>
    <s v="Female"/>
    <n v="18"/>
    <x v="1"/>
    <n v="3"/>
    <n v="25"/>
    <n v="75"/>
    <n v="75"/>
    <n v="2023"/>
  </r>
  <r>
    <n v="327"/>
    <d v="2023-09-29T00:00:00"/>
    <x v="9"/>
    <s v="CUST327"/>
    <s v="Male"/>
    <n v="57"/>
    <x v="2"/>
    <n v="3"/>
    <n v="50"/>
    <n v="150"/>
    <n v="150"/>
    <n v="2023"/>
  </r>
  <r>
    <n v="328"/>
    <d v="2023-03-22T00:00:00"/>
    <x v="5"/>
    <s v="CUST328"/>
    <s v="Male"/>
    <n v="39"/>
    <x v="0"/>
    <n v="2"/>
    <n v="50"/>
    <n v="100"/>
    <n v="100"/>
    <n v="2023"/>
  </r>
  <r>
    <n v="329"/>
    <d v="2023-01-30T00:00:00"/>
    <x v="2"/>
    <s v="CUST329"/>
    <s v="Female"/>
    <n v="46"/>
    <x v="2"/>
    <n v="4"/>
    <n v="25"/>
    <n v="100"/>
    <n v="100"/>
    <n v="2023"/>
  </r>
  <r>
    <n v="330"/>
    <d v="2023-09-18T00:00:00"/>
    <x v="9"/>
    <s v="CUST330"/>
    <s v="Female"/>
    <n v="25"/>
    <x v="0"/>
    <n v="4"/>
    <n v="50"/>
    <n v="200"/>
    <n v="200"/>
    <n v="2023"/>
  </r>
  <r>
    <n v="331"/>
    <d v="2023-02-11T00:00:00"/>
    <x v="1"/>
    <s v="CUST331"/>
    <s v="Male"/>
    <n v="28"/>
    <x v="2"/>
    <n v="3"/>
    <n v="30"/>
    <n v="90"/>
    <n v="90"/>
    <n v="2023"/>
  </r>
  <r>
    <n v="332"/>
    <d v="2023-04-06T00:00:00"/>
    <x v="4"/>
    <s v="CUST332"/>
    <s v="Male"/>
    <n v="58"/>
    <x v="2"/>
    <n v="4"/>
    <n v="300"/>
    <n v="1200"/>
    <n v="1200"/>
    <n v="2023"/>
  </r>
  <r>
    <n v="333"/>
    <d v="2023-02-05T00:00:00"/>
    <x v="1"/>
    <s v="CUST333"/>
    <s v="Female"/>
    <n v="54"/>
    <x v="2"/>
    <n v="4"/>
    <n v="300"/>
    <n v="1200"/>
    <n v="1200"/>
    <n v="2023"/>
  </r>
  <r>
    <n v="334"/>
    <d v="2023-11-01T00:00:00"/>
    <x v="0"/>
    <s v="CUST334"/>
    <s v="Male"/>
    <n v="31"/>
    <x v="2"/>
    <n v="3"/>
    <n v="300"/>
    <n v="900"/>
    <n v="900"/>
    <n v="2023"/>
  </r>
  <r>
    <n v="335"/>
    <d v="2023-02-04T00:00:00"/>
    <x v="1"/>
    <s v="CUST335"/>
    <s v="Female"/>
    <n v="47"/>
    <x v="0"/>
    <n v="4"/>
    <n v="30"/>
    <n v="120"/>
    <n v="120"/>
    <n v="2023"/>
  </r>
  <r>
    <n v="336"/>
    <d v="2023-12-12T00:00:00"/>
    <x v="6"/>
    <s v="CUST336"/>
    <s v="Female"/>
    <n v="52"/>
    <x v="0"/>
    <n v="3"/>
    <n v="50"/>
    <n v="150"/>
    <n v="150"/>
    <n v="2023"/>
  </r>
  <r>
    <n v="337"/>
    <d v="2023-05-01T00:00:00"/>
    <x v="3"/>
    <s v="CUST337"/>
    <s v="Male"/>
    <n v="38"/>
    <x v="1"/>
    <n v="1"/>
    <n v="500"/>
    <n v="500"/>
    <n v="500"/>
    <n v="2023"/>
  </r>
  <r>
    <n v="338"/>
    <d v="2023-07-26T00:00:00"/>
    <x v="11"/>
    <s v="CUST338"/>
    <s v="Male"/>
    <n v="54"/>
    <x v="0"/>
    <n v="2"/>
    <n v="50"/>
    <n v="100"/>
    <n v="100"/>
    <n v="2023"/>
  </r>
  <r>
    <n v="339"/>
    <d v="2023-03-03T00:00:00"/>
    <x v="5"/>
    <s v="CUST339"/>
    <s v="Female"/>
    <n v="22"/>
    <x v="2"/>
    <n v="2"/>
    <n v="25"/>
    <n v="50"/>
    <n v="50"/>
    <n v="2023"/>
  </r>
  <r>
    <n v="340"/>
    <d v="2023-10-19T00:00:00"/>
    <x v="7"/>
    <s v="CUST340"/>
    <s v="Female"/>
    <n v="36"/>
    <x v="1"/>
    <n v="4"/>
    <n v="300"/>
    <n v="1200"/>
    <n v="1200"/>
    <n v="2023"/>
  </r>
  <r>
    <n v="341"/>
    <d v="2023-05-07T00:00:00"/>
    <x v="3"/>
    <s v="CUST341"/>
    <s v="Male"/>
    <n v="31"/>
    <x v="1"/>
    <n v="4"/>
    <n v="50"/>
    <n v="200"/>
    <n v="200"/>
    <n v="2023"/>
  </r>
  <r>
    <n v="342"/>
    <d v="2023-10-24T00:00:00"/>
    <x v="7"/>
    <s v="CUST342"/>
    <s v="Female"/>
    <n v="43"/>
    <x v="1"/>
    <n v="4"/>
    <n v="500"/>
    <n v="2000"/>
    <n v="2000"/>
    <n v="2023"/>
  </r>
  <r>
    <n v="343"/>
    <d v="2023-11-01T00:00:00"/>
    <x v="0"/>
    <s v="CUST343"/>
    <s v="Male"/>
    <n v="21"/>
    <x v="2"/>
    <n v="2"/>
    <n v="25"/>
    <n v="50"/>
    <n v="50"/>
    <n v="2023"/>
  </r>
  <r>
    <n v="344"/>
    <d v="2023-01-21T00:00:00"/>
    <x v="2"/>
    <s v="CUST344"/>
    <s v="Female"/>
    <n v="42"/>
    <x v="0"/>
    <n v="1"/>
    <n v="30"/>
    <n v="30"/>
    <n v="30"/>
    <n v="2023"/>
  </r>
  <r>
    <n v="345"/>
    <d v="2023-11-14T00:00:00"/>
    <x v="0"/>
    <s v="CUST345"/>
    <s v="Male"/>
    <n v="62"/>
    <x v="2"/>
    <n v="1"/>
    <n v="30"/>
    <n v="30"/>
    <n v="30"/>
    <n v="2023"/>
  </r>
  <r>
    <n v="346"/>
    <d v="2023-02-11T00:00:00"/>
    <x v="1"/>
    <s v="CUST346"/>
    <s v="Male"/>
    <n v="59"/>
    <x v="1"/>
    <n v="2"/>
    <n v="500"/>
    <n v="1000"/>
    <n v="1000"/>
    <n v="2023"/>
  </r>
  <r>
    <n v="347"/>
    <d v="2023-08-03T00:00:00"/>
    <x v="8"/>
    <s v="CUST347"/>
    <s v="Male"/>
    <n v="42"/>
    <x v="2"/>
    <n v="1"/>
    <n v="25"/>
    <n v="25"/>
    <n v="25"/>
    <n v="2023"/>
  </r>
  <r>
    <n v="348"/>
    <d v="2023-12-03T00:00:00"/>
    <x v="6"/>
    <s v="CUST348"/>
    <s v="Female"/>
    <n v="35"/>
    <x v="2"/>
    <n v="2"/>
    <n v="300"/>
    <n v="600"/>
    <n v="600"/>
    <n v="2023"/>
  </r>
  <r>
    <n v="349"/>
    <d v="2023-10-26T00:00:00"/>
    <x v="7"/>
    <s v="CUST349"/>
    <s v="Female"/>
    <n v="57"/>
    <x v="0"/>
    <n v="1"/>
    <n v="50"/>
    <n v="50"/>
    <n v="50"/>
    <n v="2023"/>
  </r>
  <r>
    <n v="350"/>
    <d v="2023-10-17T00:00:00"/>
    <x v="7"/>
    <s v="CUST350"/>
    <s v="Male"/>
    <n v="25"/>
    <x v="0"/>
    <n v="3"/>
    <n v="25"/>
    <n v="75"/>
    <n v="75"/>
    <n v="2023"/>
  </r>
  <r>
    <n v="351"/>
    <d v="2023-09-25T00:00:00"/>
    <x v="9"/>
    <s v="CUST351"/>
    <s v="Female"/>
    <n v="56"/>
    <x v="1"/>
    <n v="3"/>
    <n v="30"/>
    <n v="90"/>
    <n v="90"/>
    <n v="2023"/>
  </r>
  <r>
    <n v="352"/>
    <d v="2023-06-11T00:00:00"/>
    <x v="10"/>
    <s v="CUST352"/>
    <s v="Male"/>
    <n v="57"/>
    <x v="2"/>
    <n v="2"/>
    <n v="500"/>
    <n v="1000"/>
    <n v="1000"/>
    <n v="2023"/>
  </r>
  <r>
    <n v="353"/>
    <d v="2023-05-14T00:00:00"/>
    <x v="3"/>
    <s v="CUST353"/>
    <s v="Male"/>
    <n v="31"/>
    <x v="2"/>
    <n v="1"/>
    <n v="500"/>
    <n v="500"/>
    <n v="500"/>
    <n v="2023"/>
  </r>
  <r>
    <n v="354"/>
    <d v="2023-04-15T00:00:00"/>
    <x v="4"/>
    <s v="CUST354"/>
    <s v="Female"/>
    <n v="49"/>
    <x v="0"/>
    <n v="4"/>
    <n v="50"/>
    <n v="200"/>
    <n v="200"/>
    <n v="2023"/>
  </r>
  <r>
    <n v="355"/>
    <d v="2023-12-09T00:00:00"/>
    <x v="6"/>
    <s v="CUST355"/>
    <s v="Female"/>
    <n v="55"/>
    <x v="2"/>
    <n v="1"/>
    <n v="500"/>
    <n v="500"/>
    <n v="500"/>
    <n v="2023"/>
  </r>
  <r>
    <n v="356"/>
    <d v="2023-06-10T00:00:00"/>
    <x v="10"/>
    <s v="CUST356"/>
    <s v="Male"/>
    <n v="50"/>
    <x v="2"/>
    <n v="3"/>
    <n v="500"/>
    <n v="1500"/>
    <n v="1500"/>
    <n v="2023"/>
  </r>
  <r>
    <n v="357"/>
    <d v="2023-05-03T00:00:00"/>
    <x v="3"/>
    <s v="CUST357"/>
    <s v="Female"/>
    <n v="40"/>
    <x v="2"/>
    <n v="3"/>
    <n v="25"/>
    <n v="75"/>
    <n v="75"/>
    <n v="2023"/>
  </r>
  <r>
    <n v="358"/>
    <d v="2023-05-16T00:00:00"/>
    <x v="3"/>
    <s v="CUST358"/>
    <s v="Female"/>
    <n v="32"/>
    <x v="0"/>
    <n v="1"/>
    <n v="300"/>
    <n v="300"/>
    <n v="300"/>
    <n v="2023"/>
  </r>
  <r>
    <n v="359"/>
    <d v="2023-07-22T00:00:00"/>
    <x v="11"/>
    <s v="CUST359"/>
    <s v="Male"/>
    <n v="50"/>
    <x v="1"/>
    <n v="1"/>
    <n v="50"/>
    <n v="50"/>
    <n v="50"/>
    <n v="2023"/>
  </r>
  <r>
    <n v="360"/>
    <d v="2023-03-09T00:00:00"/>
    <x v="5"/>
    <s v="CUST360"/>
    <s v="Male"/>
    <n v="42"/>
    <x v="1"/>
    <n v="4"/>
    <n v="25"/>
    <n v="100"/>
    <n v="100"/>
    <n v="2023"/>
  </r>
  <r>
    <n v="361"/>
    <d v="2023-12-10T00:00:00"/>
    <x v="6"/>
    <s v="CUST361"/>
    <s v="Female"/>
    <n v="34"/>
    <x v="2"/>
    <n v="4"/>
    <n v="300"/>
    <n v="1200"/>
    <n v="1200"/>
    <n v="2023"/>
  </r>
  <r>
    <n v="362"/>
    <d v="2023-11-27T00:00:00"/>
    <x v="0"/>
    <s v="CUST362"/>
    <s v="Male"/>
    <n v="50"/>
    <x v="1"/>
    <n v="1"/>
    <n v="25"/>
    <n v="25"/>
    <n v="25"/>
    <n v="2023"/>
  </r>
  <r>
    <n v="363"/>
    <d v="2023-06-03T00:00:00"/>
    <x v="10"/>
    <s v="CUST363"/>
    <s v="Male"/>
    <n v="64"/>
    <x v="0"/>
    <n v="1"/>
    <n v="25"/>
    <n v="25"/>
    <n v="25"/>
    <n v="2023"/>
  </r>
  <r>
    <n v="364"/>
    <d v="2023-08-23T00:00:00"/>
    <x v="8"/>
    <s v="CUST364"/>
    <s v="Female"/>
    <n v="19"/>
    <x v="0"/>
    <n v="1"/>
    <n v="500"/>
    <n v="500"/>
    <n v="500"/>
    <n v="2023"/>
  </r>
  <r>
    <n v="365"/>
    <d v="2023-06-11T00:00:00"/>
    <x v="10"/>
    <s v="CUST365"/>
    <s v="Male"/>
    <n v="31"/>
    <x v="1"/>
    <n v="1"/>
    <n v="300"/>
    <n v="300"/>
    <n v="300"/>
    <n v="2023"/>
  </r>
  <r>
    <n v="366"/>
    <d v="2023-02-07T00:00:00"/>
    <x v="1"/>
    <s v="CUST366"/>
    <s v="Male"/>
    <n v="57"/>
    <x v="1"/>
    <n v="2"/>
    <n v="50"/>
    <n v="100"/>
    <n v="100"/>
    <n v="2023"/>
  </r>
  <r>
    <n v="367"/>
    <d v="2023-01-05T00:00:00"/>
    <x v="2"/>
    <s v="CUST367"/>
    <s v="Female"/>
    <n v="57"/>
    <x v="2"/>
    <n v="1"/>
    <n v="50"/>
    <n v="50"/>
    <n v="50"/>
    <n v="2023"/>
  </r>
  <r>
    <n v="368"/>
    <d v="2023-08-23T00:00:00"/>
    <x v="8"/>
    <s v="CUST368"/>
    <s v="Female"/>
    <n v="56"/>
    <x v="1"/>
    <n v="4"/>
    <n v="300"/>
    <n v="1200"/>
    <n v="1200"/>
    <n v="2023"/>
  </r>
  <r>
    <n v="369"/>
    <d v="2023-11-15T00:00:00"/>
    <x v="0"/>
    <s v="CUST369"/>
    <s v="Male"/>
    <n v="23"/>
    <x v="2"/>
    <n v="3"/>
    <n v="500"/>
    <n v="1500"/>
    <n v="1500"/>
    <n v="2023"/>
  </r>
  <r>
    <n v="370"/>
    <d v="2023-10-16T00:00:00"/>
    <x v="7"/>
    <s v="CUST370"/>
    <s v="Male"/>
    <n v="23"/>
    <x v="2"/>
    <n v="2"/>
    <n v="30"/>
    <n v="60"/>
    <n v="60"/>
    <n v="2023"/>
  </r>
  <r>
    <n v="371"/>
    <d v="2023-02-21T00:00:00"/>
    <x v="1"/>
    <s v="CUST371"/>
    <s v="Female"/>
    <n v="20"/>
    <x v="0"/>
    <n v="1"/>
    <n v="25"/>
    <n v="25"/>
    <n v="25"/>
    <n v="2023"/>
  </r>
  <r>
    <n v="372"/>
    <d v="2023-02-07T00:00:00"/>
    <x v="1"/>
    <s v="CUST372"/>
    <s v="Female"/>
    <n v="24"/>
    <x v="0"/>
    <n v="3"/>
    <n v="500"/>
    <n v="1500"/>
    <n v="1500"/>
    <n v="2023"/>
  </r>
  <r>
    <n v="373"/>
    <d v="2023-10-03T00:00:00"/>
    <x v="7"/>
    <s v="CUST373"/>
    <s v="Female"/>
    <n v="25"/>
    <x v="0"/>
    <n v="2"/>
    <n v="300"/>
    <n v="600"/>
    <n v="600"/>
    <n v="2023"/>
  </r>
  <r>
    <n v="374"/>
    <d v="2023-04-20T00:00:00"/>
    <x v="4"/>
    <s v="CUST374"/>
    <s v="Female"/>
    <n v="59"/>
    <x v="0"/>
    <n v="3"/>
    <n v="25"/>
    <n v="75"/>
    <n v="75"/>
    <n v="2023"/>
  </r>
  <r>
    <n v="375"/>
    <d v="2023-09-17T00:00:00"/>
    <x v="9"/>
    <s v="CUST375"/>
    <s v="Male"/>
    <n v="32"/>
    <x v="1"/>
    <n v="1"/>
    <n v="50"/>
    <n v="50"/>
    <n v="50"/>
    <n v="2023"/>
  </r>
  <r>
    <n v="376"/>
    <d v="2023-05-16T00:00:00"/>
    <x v="3"/>
    <s v="CUST376"/>
    <s v="Female"/>
    <n v="64"/>
    <x v="0"/>
    <n v="1"/>
    <n v="30"/>
    <n v="30"/>
    <n v="30"/>
    <n v="2023"/>
  </r>
  <r>
    <n v="377"/>
    <d v="2023-03-09T00:00:00"/>
    <x v="5"/>
    <s v="CUST377"/>
    <s v="Female"/>
    <n v="46"/>
    <x v="1"/>
    <n v="4"/>
    <n v="50"/>
    <n v="200"/>
    <n v="200"/>
    <n v="2023"/>
  </r>
  <r>
    <n v="378"/>
    <d v="2023-06-28T00:00:00"/>
    <x v="10"/>
    <s v="CUST378"/>
    <s v="Male"/>
    <n v="50"/>
    <x v="0"/>
    <n v="1"/>
    <n v="300"/>
    <n v="300"/>
    <n v="300"/>
    <n v="2023"/>
  </r>
  <r>
    <n v="379"/>
    <d v="2023-02-05T00:00:00"/>
    <x v="1"/>
    <s v="CUST379"/>
    <s v="Female"/>
    <n v="47"/>
    <x v="1"/>
    <n v="1"/>
    <n v="25"/>
    <n v="25"/>
    <n v="25"/>
    <n v="2023"/>
  </r>
  <r>
    <n v="380"/>
    <d v="2023-05-06T00:00:00"/>
    <x v="3"/>
    <s v="CUST380"/>
    <s v="Male"/>
    <n v="56"/>
    <x v="2"/>
    <n v="2"/>
    <n v="300"/>
    <n v="600"/>
    <n v="600"/>
    <n v="2023"/>
  </r>
  <r>
    <n v="381"/>
    <d v="2023-07-09T00:00:00"/>
    <x v="11"/>
    <s v="CUST381"/>
    <s v="Female"/>
    <n v="44"/>
    <x v="1"/>
    <n v="4"/>
    <n v="25"/>
    <n v="100"/>
    <n v="100"/>
    <n v="2023"/>
  </r>
  <r>
    <n v="382"/>
    <d v="2023-05-26T00:00:00"/>
    <x v="3"/>
    <s v="CUST382"/>
    <s v="Female"/>
    <n v="53"/>
    <x v="1"/>
    <n v="2"/>
    <n v="500"/>
    <n v="1000"/>
    <n v="1000"/>
    <n v="2023"/>
  </r>
  <r>
    <n v="383"/>
    <d v="2023-03-22T00:00:00"/>
    <x v="5"/>
    <s v="CUST383"/>
    <s v="Female"/>
    <n v="46"/>
    <x v="0"/>
    <n v="3"/>
    <n v="30"/>
    <n v="90"/>
    <n v="90"/>
    <n v="2023"/>
  </r>
  <r>
    <n v="384"/>
    <d v="2023-08-13T00:00:00"/>
    <x v="8"/>
    <s v="CUST384"/>
    <s v="Male"/>
    <n v="55"/>
    <x v="1"/>
    <n v="1"/>
    <n v="500"/>
    <n v="500"/>
    <n v="500"/>
    <n v="2023"/>
  </r>
  <r>
    <n v="385"/>
    <d v="2023-10-06T00:00:00"/>
    <x v="7"/>
    <s v="CUST385"/>
    <s v="Male"/>
    <n v="50"/>
    <x v="2"/>
    <n v="3"/>
    <n v="500"/>
    <n v="1500"/>
    <n v="1500"/>
    <n v="2023"/>
  </r>
  <r>
    <n v="386"/>
    <d v="2023-12-27T00:00:00"/>
    <x v="6"/>
    <s v="CUST386"/>
    <s v="Female"/>
    <n v="54"/>
    <x v="2"/>
    <n v="2"/>
    <n v="300"/>
    <n v="600"/>
    <n v="600"/>
    <n v="2023"/>
  </r>
  <r>
    <n v="387"/>
    <d v="2023-06-04T00:00:00"/>
    <x v="10"/>
    <s v="CUST387"/>
    <s v="Male"/>
    <n v="44"/>
    <x v="0"/>
    <n v="1"/>
    <n v="30"/>
    <n v="30"/>
    <n v="30"/>
    <n v="2023"/>
  </r>
  <r>
    <n v="388"/>
    <d v="2023-11-10T00:00:00"/>
    <x v="0"/>
    <s v="CUST388"/>
    <s v="Male"/>
    <n v="50"/>
    <x v="2"/>
    <n v="1"/>
    <n v="25"/>
    <n v="25"/>
    <n v="25"/>
    <n v="2023"/>
  </r>
  <r>
    <n v="389"/>
    <d v="2023-12-01T00:00:00"/>
    <x v="6"/>
    <s v="CUST389"/>
    <s v="Male"/>
    <n v="21"/>
    <x v="1"/>
    <n v="2"/>
    <n v="25"/>
    <n v="50"/>
    <n v="50"/>
    <n v="2023"/>
  </r>
  <r>
    <n v="390"/>
    <d v="2023-09-28T00:00:00"/>
    <x v="9"/>
    <s v="CUST390"/>
    <s v="Male"/>
    <n v="39"/>
    <x v="2"/>
    <n v="2"/>
    <n v="50"/>
    <n v="100"/>
    <n v="100"/>
    <n v="2023"/>
  </r>
  <r>
    <n v="391"/>
    <d v="2023-01-05T00:00:00"/>
    <x v="2"/>
    <s v="CUST391"/>
    <s v="Male"/>
    <n v="19"/>
    <x v="0"/>
    <n v="2"/>
    <n v="25"/>
    <n v="50"/>
    <n v="50"/>
    <n v="2023"/>
  </r>
  <r>
    <n v="392"/>
    <d v="2023-12-08T00:00:00"/>
    <x v="6"/>
    <s v="CUST392"/>
    <s v="Male"/>
    <n v="27"/>
    <x v="1"/>
    <n v="2"/>
    <n v="300"/>
    <n v="600"/>
    <n v="600"/>
    <n v="2023"/>
  </r>
  <r>
    <n v="393"/>
    <d v="2023-10-11T00:00:00"/>
    <x v="7"/>
    <s v="CUST393"/>
    <s v="Female"/>
    <n v="22"/>
    <x v="0"/>
    <n v="2"/>
    <n v="500"/>
    <n v="1000"/>
    <n v="1000"/>
    <n v="2023"/>
  </r>
  <r>
    <n v="394"/>
    <d v="2023-06-03T00:00:00"/>
    <x v="10"/>
    <s v="CUST394"/>
    <s v="Female"/>
    <n v="27"/>
    <x v="1"/>
    <n v="1"/>
    <n v="500"/>
    <n v="500"/>
    <n v="500"/>
    <n v="2023"/>
  </r>
  <r>
    <n v="395"/>
    <d v="2023-12-06T00:00:00"/>
    <x v="6"/>
    <s v="CUST395"/>
    <s v="Male"/>
    <n v="50"/>
    <x v="2"/>
    <n v="2"/>
    <n v="500"/>
    <n v="1000"/>
    <n v="1000"/>
    <n v="2023"/>
  </r>
  <r>
    <n v="396"/>
    <d v="2023-02-23T00:00:00"/>
    <x v="1"/>
    <s v="CUST396"/>
    <s v="Female"/>
    <n v="55"/>
    <x v="0"/>
    <n v="1"/>
    <n v="30"/>
    <n v="30"/>
    <n v="30"/>
    <n v="2023"/>
  </r>
  <r>
    <n v="397"/>
    <d v="2023-03-10T00:00:00"/>
    <x v="5"/>
    <s v="CUST397"/>
    <s v="Female"/>
    <n v="30"/>
    <x v="0"/>
    <n v="1"/>
    <n v="25"/>
    <n v="25"/>
    <n v="25"/>
    <n v="2023"/>
  </r>
  <r>
    <n v="398"/>
    <d v="2023-05-16T00:00:00"/>
    <x v="3"/>
    <s v="CUST398"/>
    <s v="Female"/>
    <n v="48"/>
    <x v="1"/>
    <n v="2"/>
    <n v="300"/>
    <n v="600"/>
    <n v="600"/>
    <n v="2023"/>
  </r>
  <r>
    <n v="399"/>
    <d v="2023-03-01T00:00:00"/>
    <x v="5"/>
    <s v="CUST399"/>
    <s v="Female"/>
    <n v="64"/>
    <x v="0"/>
    <n v="2"/>
    <n v="30"/>
    <n v="60"/>
    <n v="60"/>
    <n v="2023"/>
  </r>
  <r>
    <n v="400"/>
    <d v="2023-02-24T00:00:00"/>
    <x v="1"/>
    <s v="CUST400"/>
    <s v="Male"/>
    <n v="53"/>
    <x v="1"/>
    <n v="4"/>
    <n v="50"/>
    <n v="200"/>
    <n v="200"/>
    <n v="2023"/>
  </r>
  <r>
    <n v="401"/>
    <d v="2023-10-11T00:00:00"/>
    <x v="7"/>
    <s v="CUST401"/>
    <s v="Female"/>
    <n v="62"/>
    <x v="1"/>
    <n v="1"/>
    <n v="300"/>
    <n v="300"/>
    <n v="300"/>
    <n v="2023"/>
  </r>
  <r>
    <n v="402"/>
    <d v="2023-03-21T00:00:00"/>
    <x v="5"/>
    <s v="CUST402"/>
    <s v="Female"/>
    <n v="41"/>
    <x v="1"/>
    <n v="2"/>
    <n v="300"/>
    <n v="600"/>
    <n v="600"/>
    <n v="2023"/>
  </r>
  <r>
    <n v="403"/>
    <d v="2023-05-20T00:00:00"/>
    <x v="3"/>
    <s v="CUST403"/>
    <s v="Male"/>
    <n v="32"/>
    <x v="1"/>
    <n v="2"/>
    <n v="300"/>
    <n v="600"/>
    <n v="600"/>
    <n v="2023"/>
  </r>
  <r>
    <n v="404"/>
    <d v="2023-05-25T00:00:00"/>
    <x v="3"/>
    <s v="CUST404"/>
    <s v="Male"/>
    <n v="46"/>
    <x v="2"/>
    <n v="2"/>
    <n v="500"/>
    <n v="1000"/>
    <n v="1000"/>
    <n v="2023"/>
  </r>
  <r>
    <n v="405"/>
    <d v="2023-11-06T00:00:00"/>
    <x v="0"/>
    <s v="CUST405"/>
    <s v="Female"/>
    <n v="25"/>
    <x v="1"/>
    <n v="4"/>
    <n v="300"/>
    <n v="1200"/>
    <n v="1200"/>
    <n v="2023"/>
  </r>
  <r>
    <n v="406"/>
    <d v="2023-04-18T00:00:00"/>
    <x v="4"/>
    <s v="CUST406"/>
    <s v="Female"/>
    <n v="22"/>
    <x v="0"/>
    <n v="4"/>
    <n v="25"/>
    <n v="100"/>
    <n v="100"/>
    <n v="2023"/>
  </r>
  <r>
    <n v="407"/>
    <d v="2023-06-25T00:00:00"/>
    <x v="10"/>
    <s v="CUST407"/>
    <s v="Female"/>
    <n v="46"/>
    <x v="2"/>
    <n v="3"/>
    <n v="300"/>
    <n v="900"/>
    <n v="900"/>
    <n v="2023"/>
  </r>
  <r>
    <n v="408"/>
    <d v="2023-04-15T00:00:00"/>
    <x v="4"/>
    <s v="CUST408"/>
    <s v="Female"/>
    <n v="64"/>
    <x v="0"/>
    <n v="1"/>
    <n v="500"/>
    <n v="500"/>
    <n v="500"/>
    <n v="2023"/>
  </r>
  <r>
    <n v="409"/>
    <d v="2023-12-18T00:00:00"/>
    <x v="6"/>
    <s v="CUST409"/>
    <s v="Female"/>
    <n v="21"/>
    <x v="2"/>
    <n v="3"/>
    <n v="300"/>
    <n v="900"/>
    <n v="900"/>
    <n v="2023"/>
  </r>
  <r>
    <n v="410"/>
    <d v="2023-11-21T00:00:00"/>
    <x v="0"/>
    <s v="CUST410"/>
    <s v="Female"/>
    <n v="29"/>
    <x v="1"/>
    <n v="2"/>
    <n v="50"/>
    <n v="100"/>
    <n v="100"/>
    <n v="2023"/>
  </r>
  <r>
    <n v="411"/>
    <d v="2023-05-16T00:00:00"/>
    <x v="3"/>
    <s v="CUST411"/>
    <s v="Male"/>
    <n v="62"/>
    <x v="2"/>
    <n v="4"/>
    <n v="50"/>
    <n v="200"/>
    <n v="200"/>
    <n v="2023"/>
  </r>
  <r>
    <n v="412"/>
    <d v="2023-09-16T00:00:00"/>
    <x v="9"/>
    <s v="CUST412"/>
    <s v="Female"/>
    <n v="19"/>
    <x v="2"/>
    <n v="4"/>
    <n v="500"/>
    <n v="2000"/>
    <n v="2000"/>
    <n v="2023"/>
  </r>
  <r>
    <n v="413"/>
    <d v="2023-09-08T00:00:00"/>
    <x v="9"/>
    <s v="CUST413"/>
    <s v="Female"/>
    <n v="44"/>
    <x v="0"/>
    <n v="3"/>
    <n v="25"/>
    <n v="75"/>
    <n v="75"/>
    <n v="2023"/>
  </r>
  <r>
    <n v="414"/>
    <d v="2023-05-09T00:00:00"/>
    <x v="3"/>
    <s v="CUST414"/>
    <s v="Male"/>
    <n v="48"/>
    <x v="0"/>
    <n v="4"/>
    <n v="25"/>
    <n v="100"/>
    <n v="100"/>
    <n v="2023"/>
  </r>
  <r>
    <n v="415"/>
    <d v="2023-01-27T00:00:00"/>
    <x v="2"/>
    <s v="CUST415"/>
    <s v="Male"/>
    <n v="53"/>
    <x v="1"/>
    <n v="2"/>
    <n v="30"/>
    <n v="60"/>
    <n v="60"/>
    <n v="2023"/>
  </r>
  <r>
    <n v="416"/>
    <d v="2023-02-17T00:00:00"/>
    <x v="1"/>
    <s v="CUST416"/>
    <s v="Male"/>
    <n v="53"/>
    <x v="2"/>
    <n v="4"/>
    <n v="500"/>
    <n v="2000"/>
    <n v="2000"/>
    <n v="2023"/>
  </r>
  <r>
    <n v="417"/>
    <d v="2023-11-21T00:00:00"/>
    <x v="0"/>
    <s v="CUST417"/>
    <s v="Male"/>
    <n v="43"/>
    <x v="2"/>
    <n v="3"/>
    <n v="300"/>
    <n v="900"/>
    <n v="900"/>
    <n v="2023"/>
  </r>
  <r>
    <n v="418"/>
    <d v="2023-08-05T00:00:00"/>
    <x v="8"/>
    <s v="CUST418"/>
    <s v="Female"/>
    <n v="60"/>
    <x v="2"/>
    <n v="2"/>
    <n v="500"/>
    <n v="1000"/>
    <n v="1000"/>
    <n v="2023"/>
  </r>
  <r>
    <n v="419"/>
    <d v="2023-05-22T00:00:00"/>
    <x v="3"/>
    <s v="CUST419"/>
    <s v="Female"/>
    <n v="44"/>
    <x v="1"/>
    <n v="3"/>
    <n v="30"/>
    <n v="90"/>
    <n v="90"/>
    <n v="2023"/>
  </r>
  <r>
    <n v="420"/>
    <d v="2023-01-23T00:00:00"/>
    <x v="2"/>
    <s v="CUST420"/>
    <s v="Female"/>
    <n v="22"/>
    <x v="1"/>
    <n v="4"/>
    <n v="500"/>
    <n v="2000"/>
    <n v="2000"/>
    <n v="2023"/>
  </r>
  <r>
    <n v="421"/>
    <d v="2023-01-02T00:00:00"/>
    <x v="2"/>
    <s v="CUST421"/>
    <s v="Female"/>
    <n v="37"/>
    <x v="1"/>
    <n v="3"/>
    <n v="500"/>
    <n v="1500"/>
    <n v="1500"/>
    <n v="2023"/>
  </r>
  <r>
    <n v="422"/>
    <d v="2023-06-20T00:00:00"/>
    <x v="10"/>
    <s v="CUST422"/>
    <s v="Female"/>
    <n v="28"/>
    <x v="1"/>
    <n v="3"/>
    <n v="30"/>
    <n v="90"/>
    <n v="90"/>
    <n v="2023"/>
  </r>
  <r>
    <n v="423"/>
    <d v="2023-03-08T00:00:00"/>
    <x v="5"/>
    <s v="CUST423"/>
    <s v="Female"/>
    <n v="27"/>
    <x v="1"/>
    <n v="1"/>
    <n v="25"/>
    <n v="25"/>
    <n v="25"/>
    <n v="2023"/>
  </r>
  <r>
    <n v="424"/>
    <d v="2023-11-23T00:00:00"/>
    <x v="0"/>
    <s v="CUST424"/>
    <s v="Male"/>
    <n v="57"/>
    <x v="0"/>
    <n v="4"/>
    <n v="300"/>
    <n v="1200"/>
    <n v="1200"/>
    <n v="2023"/>
  </r>
  <r>
    <n v="425"/>
    <d v="2023-05-15T00:00:00"/>
    <x v="3"/>
    <s v="CUST425"/>
    <s v="Female"/>
    <n v="55"/>
    <x v="2"/>
    <n v="4"/>
    <n v="30"/>
    <n v="120"/>
    <n v="120"/>
    <n v="2023"/>
  </r>
  <r>
    <n v="426"/>
    <d v="2023-03-24T00:00:00"/>
    <x v="5"/>
    <s v="CUST426"/>
    <s v="Male"/>
    <n v="23"/>
    <x v="2"/>
    <n v="3"/>
    <n v="50"/>
    <n v="150"/>
    <n v="150"/>
    <n v="2023"/>
  </r>
  <r>
    <n v="427"/>
    <d v="2023-08-15T00:00:00"/>
    <x v="8"/>
    <s v="CUST427"/>
    <s v="Male"/>
    <n v="25"/>
    <x v="2"/>
    <n v="1"/>
    <n v="25"/>
    <n v="25"/>
    <n v="25"/>
    <n v="2023"/>
  </r>
  <r>
    <n v="428"/>
    <d v="2023-10-10T00:00:00"/>
    <x v="7"/>
    <s v="CUST428"/>
    <s v="Female"/>
    <n v="40"/>
    <x v="2"/>
    <n v="4"/>
    <n v="50"/>
    <n v="200"/>
    <n v="200"/>
    <n v="2023"/>
  </r>
  <r>
    <n v="429"/>
    <d v="2023-12-28T00:00:00"/>
    <x v="6"/>
    <s v="CUST429"/>
    <s v="Male"/>
    <n v="64"/>
    <x v="2"/>
    <n v="2"/>
    <n v="25"/>
    <n v="50"/>
    <n v="50"/>
    <n v="2023"/>
  </r>
  <r>
    <n v="430"/>
    <d v="2023-08-07T00:00:00"/>
    <x v="8"/>
    <s v="CUST430"/>
    <s v="Female"/>
    <n v="43"/>
    <x v="2"/>
    <n v="3"/>
    <n v="300"/>
    <n v="900"/>
    <n v="900"/>
    <n v="2023"/>
  </r>
  <r>
    <n v="431"/>
    <d v="2023-10-15T00:00:00"/>
    <x v="7"/>
    <s v="CUST431"/>
    <s v="Male"/>
    <n v="63"/>
    <x v="2"/>
    <n v="4"/>
    <n v="300"/>
    <n v="1200"/>
    <n v="1200"/>
    <n v="2023"/>
  </r>
  <r>
    <n v="432"/>
    <d v="2023-01-05T00:00:00"/>
    <x v="2"/>
    <s v="CUST432"/>
    <s v="Female"/>
    <n v="60"/>
    <x v="2"/>
    <n v="2"/>
    <n v="500"/>
    <n v="1000"/>
    <n v="1000"/>
    <n v="2023"/>
  </r>
  <r>
    <n v="433"/>
    <d v="2023-02-27T00:00:00"/>
    <x v="1"/>
    <s v="CUST433"/>
    <s v="Male"/>
    <n v="29"/>
    <x v="0"/>
    <n v="4"/>
    <n v="50"/>
    <n v="200"/>
    <n v="200"/>
    <n v="2023"/>
  </r>
  <r>
    <n v="434"/>
    <d v="2023-02-08T00:00:00"/>
    <x v="1"/>
    <s v="CUST434"/>
    <s v="Female"/>
    <n v="43"/>
    <x v="2"/>
    <n v="2"/>
    <n v="25"/>
    <n v="50"/>
    <n v="50"/>
    <n v="2023"/>
  </r>
  <r>
    <n v="435"/>
    <d v="2023-12-20T00:00:00"/>
    <x v="6"/>
    <s v="CUST435"/>
    <s v="Female"/>
    <n v="30"/>
    <x v="0"/>
    <n v="3"/>
    <n v="300"/>
    <n v="900"/>
    <n v="900"/>
    <n v="2023"/>
  </r>
  <r>
    <n v="436"/>
    <d v="2023-03-18T00:00:00"/>
    <x v="5"/>
    <s v="CUST436"/>
    <s v="Female"/>
    <n v="57"/>
    <x v="1"/>
    <n v="4"/>
    <n v="30"/>
    <n v="120"/>
    <n v="120"/>
    <n v="2023"/>
  </r>
  <r>
    <n v="437"/>
    <d v="2023-10-07T00:00:00"/>
    <x v="7"/>
    <s v="CUST437"/>
    <s v="Female"/>
    <n v="35"/>
    <x v="2"/>
    <n v="4"/>
    <n v="300"/>
    <n v="1200"/>
    <n v="1200"/>
    <n v="2023"/>
  </r>
  <r>
    <n v="438"/>
    <d v="2023-01-19T00:00:00"/>
    <x v="2"/>
    <s v="CUST438"/>
    <s v="Female"/>
    <n v="42"/>
    <x v="1"/>
    <n v="1"/>
    <n v="30"/>
    <n v="30"/>
    <n v="30"/>
    <n v="2023"/>
  </r>
  <r>
    <n v="439"/>
    <d v="2023-07-09T00:00:00"/>
    <x v="11"/>
    <s v="CUST439"/>
    <s v="Male"/>
    <n v="50"/>
    <x v="1"/>
    <n v="3"/>
    <n v="25"/>
    <n v="75"/>
    <n v="75"/>
    <n v="2023"/>
  </r>
  <r>
    <n v="440"/>
    <d v="2023-10-26T00:00:00"/>
    <x v="7"/>
    <s v="CUST440"/>
    <s v="Male"/>
    <n v="64"/>
    <x v="1"/>
    <n v="2"/>
    <n v="300"/>
    <n v="600"/>
    <n v="600"/>
    <n v="2023"/>
  </r>
  <r>
    <n v="441"/>
    <d v="2023-10-10T00:00:00"/>
    <x v="7"/>
    <s v="CUST441"/>
    <s v="Male"/>
    <n v="57"/>
    <x v="0"/>
    <n v="4"/>
    <n v="300"/>
    <n v="1200"/>
    <n v="1200"/>
    <n v="2023"/>
  </r>
  <r>
    <n v="442"/>
    <d v="2023-03-17T00:00:00"/>
    <x v="5"/>
    <s v="CUST442"/>
    <s v="Female"/>
    <n v="60"/>
    <x v="1"/>
    <n v="4"/>
    <n v="25"/>
    <n v="100"/>
    <n v="100"/>
    <n v="2023"/>
  </r>
  <r>
    <n v="443"/>
    <d v="2023-08-09T00:00:00"/>
    <x v="8"/>
    <s v="CUST443"/>
    <s v="Male"/>
    <n v="29"/>
    <x v="1"/>
    <n v="2"/>
    <n v="300"/>
    <n v="600"/>
    <n v="600"/>
    <n v="2023"/>
  </r>
  <r>
    <n v="444"/>
    <d v="2023-03-07T00:00:00"/>
    <x v="5"/>
    <s v="CUST444"/>
    <s v="Female"/>
    <n v="61"/>
    <x v="1"/>
    <n v="3"/>
    <n v="30"/>
    <n v="90"/>
    <n v="90"/>
    <n v="2023"/>
  </r>
  <r>
    <n v="445"/>
    <d v="2023-01-22T00:00:00"/>
    <x v="2"/>
    <s v="CUST445"/>
    <s v="Female"/>
    <n v="53"/>
    <x v="2"/>
    <n v="1"/>
    <n v="300"/>
    <n v="300"/>
    <n v="300"/>
    <n v="2023"/>
  </r>
  <r>
    <n v="446"/>
    <d v="2023-06-07T00:00:00"/>
    <x v="10"/>
    <s v="CUST446"/>
    <s v="Male"/>
    <n v="21"/>
    <x v="2"/>
    <n v="1"/>
    <n v="50"/>
    <n v="50"/>
    <n v="50"/>
    <n v="2023"/>
  </r>
  <r>
    <n v="447"/>
    <d v="2023-07-06T00:00:00"/>
    <x v="11"/>
    <s v="CUST447"/>
    <s v="Male"/>
    <n v="22"/>
    <x v="0"/>
    <n v="4"/>
    <n v="500"/>
    <n v="2000"/>
    <n v="2000"/>
    <n v="2023"/>
  </r>
  <r>
    <n v="448"/>
    <d v="2023-01-21T00:00:00"/>
    <x v="2"/>
    <s v="CUST448"/>
    <s v="Female"/>
    <n v="54"/>
    <x v="0"/>
    <n v="2"/>
    <n v="30"/>
    <n v="60"/>
    <n v="60"/>
    <n v="2023"/>
  </r>
  <r>
    <n v="449"/>
    <d v="2023-07-03T00:00:00"/>
    <x v="11"/>
    <s v="CUST449"/>
    <s v="Male"/>
    <n v="25"/>
    <x v="2"/>
    <n v="4"/>
    <n v="50"/>
    <n v="200"/>
    <n v="200"/>
    <n v="2023"/>
  </r>
  <r>
    <n v="450"/>
    <d v="2023-04-18T00:00:00"/>
    <x v="4"/>
    <s v="CUST450"/>
    <s v="Female"/>
    <n v="59"/>
    <x v="0"/>
    <n v="2"/>
    <n v="25"/>
    <n v="50"/>
    <n v="50"/>
    <n v="2023"/>
  </r>
  <r>
    <n v="451"/>
    <d v="2023-12-16T00:00:00"/>
    <x v="6"/>
    <s v="CUST451"/>
    <s v="Female"/>
    <n v="45"/>
    <x v="2"/>
    <n v="1"/>
    <n v="30"/>
    <n v="30"/>
    <n v="30"/>
    <n v="2023"/>
  </r>
  <r>
    <n v="452"/>
    <d v="2023-05-08T00:00:00"/>
    <x v="3"/>
    <s v="CUST452"/>
    <s v="Female"/>
    <n v="48"/>
    <x v="1"/>
    <n v="3"/>
    <n v="500"/>
    <n v="1500"/>
    <n v="1500"/>
    <n v="2023"/>
  </r>
  <r>
    <n v="453"/>
    <d v="2023-12-08T00:00:00"/>
    <x v="6"/>
    <s v="CUST453"/>
    <s v="Female"/>
    <n v="26"/>
    <x v="1"/>
    <n v="2"/>
    <n v="500"/>
    <n v="1000"/>
    <n v="1000"/>
    <n v="2023"/>
  </r>
  <r>
    <n v="454"/>
    <d v="2023-02-22T00:00:00"/>
    <x v="1"/>
    <s v="CUST454"/>
    <s v="Female"/>
    <n v="46"/>
    <x v="0"/>
    <n v="1"/>
    <n v="25"/>
    <n v="25"/>
    <n v="25"/>
    <n v="2023"/>
  </r>
  <r>
    <n v="455"/>
    <d v="2023-07-01T00:00:00"/>
    <x v="11"/>
    <s v="CUST455"/>
    <s v="Male"/>
    <n v="31"/>
    <x v="2"/>
    <n v="4"/>
    <n v="25"/>
    <n v="100"/>
    <n v="100"/>
    <n v="2023"/>
  </r>
  <r>
    <n v="456"/>
    <d v="2023-10-14T00:00:00"/>
    <x v="7"/>
    <s v="CUST456"/>
    <s v="Male"/>
    <n v="57"/>
    <x v="2"/>
    <n v="2"/>
    <n v="30"/>
    <n v="60"/>
    <n v="60"/>
    <n v="2023"/>
  </r>
  <r>
    <n v="457"/>
    <d v="2023-07-28T00:00:00"/>
    <x v="11"/>
    <s v="CUST457"/>
    <s v="Female"/>
    <n v="58"/>
    <x v="0"/>
    <n v="3"/>
    <n v="300"/>
    <n v="900"/>
    <n v="900"/>
    <n v="2023"/>
  </r>
  <r>
    <n v="458"/>
    <d v="2023-11-14T00:00:00"/>
    <x v="0"/>
    <s v="CUST458"/>
    <s v="Female"/>
    <n v="39"/>
    <x v="2"/>
    <n v="4"/>
    <n v="25"/>
    <n v="100"/>
    <n v="100"/>
    <n v="2023"/>
  </r>
  <r>
    <n v="459"/>
    <d v="2023-03-21T00:00:00"/>
    <x v="5"/>
    <s v="CUST459"/>
    <s v="Male"/>
    <n v="28"/>
    <x v="1"/>
    <n v="4"/>
    <n v="300"/>
    <n v="1200"/>
    <n v="1200"/>
    <n v="2023"/>
  </r>
  <r>
    <n v="460"/>
    <d v="2023-05-02T00:00:00"/>
    <x v="3"/>
    <s v="CUST460"/>
    <s v="Male"/>
    <n v="40"/>
    <x v="0"/>
    <n v="1"/>
    <n v="50"/>
    <n v="50"/>
    <n v="50"/>
    <n v="2023"/>
  </r>
  <r>
    <n v="461"/>
    <d v="2023-03-25T00:00:00"/>
    <x v="5"/>
    <s v="CUST461"/>
    <s v="Female"/>
    <n v="18"/>
    <x v="0"/>
    <n v="2"/>
    <n v="500"/>
    <n v="1000"/>
    <n v="1000"/>
    <n v="2023"/>
  </r>
  <r>
    <n v="462"/>
    <d v="2023-04-01T00:00:00"/>
    <x v="4"/>
    <s v="CUST462"/>
    <s v="Male"/>
    <n v="63"/>
    <x v="2"/>
    <n v="4"/>
    <n v="300"/>
    <n v="1200"/>
    <n v="1200"/>
    <n v="2023"/>
  </r>
  <r>
    <n v="463"/>
    <d v="2023-07-31T00:00:00"/>
    <x v="11"/>
    <s v="CUST463"/>
    <s v="Female"/>
    <n v="54"/>
    <x v="0"/>
    <n v="3"/>
    <n v="500"/>
    <n v="1500"/>
    <n v="1500"/>
    <n v="2023"/>
  </r>
  <r>
    <n v="464"/>
    <d v="2023-01-13T00:00:00"/>
    <x v="2"/>
    <s v="CUST464"/>
    <s v="Male"/>
    <n v="38"/>
    <x v="2"/>
    <n v="2"/>
    <n v="300"/>
    <n v="600"/>
    <n v="600"/>
    <n v="2023"/>
  </r>
  <r>
    <n v="465"/>
    <d v="2023-04-02T00:00:00"/>
    <x v="4"/>
    <s v="CUST465"/>
    <s v="Female"/>
    <n v="43"/>
    <x v="2"/>
    <n v="3"/>
    <n v="50"/>
    <n v="150"/>
    <n v="150"/>
    <n v="2023"/>
  </r>
  <r>
    <n v="466"/>
    <d v="2023-06-20T00:00:00"/>
    <x v="10"/>
    <s v="CUST466"/>
    <s v="Male"/>
    <n v="63"/>
    <x v="2"/>
    <n v="4"/>
    <n v="25"/>
    <n v="100"/>
    <n v="100"/>
    <n v="2023"/>
  </r>
  <r>
    <n v="467"/>
    <d v="2023-07-30T00:00:00"/>
    <x v="11"/>
    <s v="CUST467"/>
    <s v="Female"/>
    <n v="53"/>
    <x v="2"/>
    <n v="3"/>
    <n v="50"/>
    <n v="150"/>
    <n v="150"/>
    <n v="2023"/>
  </r>
  <r>
    <n v="468"/>
    <d v="2023-12-09T00:00:00"/>
    <x v="6"/>
    <s v="CUST468"/>
    <s v="Male"/>
    <n v="40"/>
    <x v="2"/>
    <n v="1"/>
    <n v="25"/>
    <n v="25"/>
    <n v="25"/>
    <n v="2023"/>
  </r>
  <r>
    <n v="469"/>
    <d v="2023-05-08T00:00:00"/>
    <x v="3"/>
    <s v="CUST469"/>
    <s v="Male"/>
    <n v="18"/>
    <x v="0"/>
    <n v="3"/>
    <n v="25"/>
    <n v="75"/>
    <n v="75"/>
    <n v="2023"/>
  </r>
  <r>
    <n v="470"/>
    <d v="2023-05-17T00:00:00"/>
    <x v="3"/>
    <s v="CUST470"/>
    <s v="Female"/>
    <n v="57"/>
    <x v="1"/>
    <n v="2"/>
    <n v="500"/>
    <n v="1000"/>
    <n v="1000"/>
    <n v="2023"/>
  </r>
  <r>
    <n v="471"/>
    <d v="2023-03-23T00:00:00"/>
    <x v="5"/>
    <s v="CUST471"/>
    <s v="Male"/>
    <n v="32"/>
    <x v="1"/>
    <n v="3"/>
    <n v="50"/>
    <n v="150"/>
    <n v="150"/>
    <n v="2023"/>
  </r>
  <r>
    <n v="472"/>
    <d v="2023-12-26T00:00:00"/>
    <x v="6"/>
    <s v="CUST472"/>
    <s v="Female"/>
    <n v="38"/>
    <x v="0"/>
    <n v="3"/>
    <n v="300"/>
    <n v="900"/>
    <n v="900"/>
    <n v="2023"/>
  </r>
  <r>
    <n v="473"/>
    <d v="2023-02-25T00:00:00"/>
    <x v="1"/>
    <s v="CUST473"/>
    <s v="Male"/>
    <n v="64"/>
    <x v="0"/>
    <n v="1"/>
    <n v="50"/>
    <n v="50"/>
    <n v="50"/>
    <n v="2023"/>
  </r>
  <r>
    <n v="474"/>
    <d v="2023-07-15T00:00:00"/>
    <x v="11"/>
    <s v="CUST474"/>
    <s v="Female"/>
    <n v="26"/>
    <x v="1"/>
    <n v="3"/>
    <n v="500"/>
    <n v="1500"/>
    <n v="1500"/>
    <n v="2023"/>
  </r>
  <r>
    <n v="475"/>
    <d v="2023-01-20T00:00:00"/>
    <x v="2"/>
    <s v="CUST475"/>
    <s v="Male"/>
    <n v="26"/>
    <x v="1"/>
    <n v="3"/>
    <n v="25"/>
    <n v="75"/>
    <n v="75"/>
    <n v="2023"/>
  </r>
  <r>
    <n v="476"/>
    <d v="2023-08-29T00:00:00"/>
    <x v="8"/>
    <s v="CUST476"/>
    <s v="Female"/>
    <n v="27"/>
    <x v="1"/>
    <n v="4"/>
    <n v="500"/>
    <n v="2000"/>
    <n v="2000"/>
    <n v="2023"/>
  </r>
  <r>
    <n v="477"/>
    <d v="2023-04-24T00:00:00"/>
    <x v="4"/>
    <s v="CUST477"/>
    <s v="Male"/>
    <n v="43"/>
    <x v="1"/>
    <n v="4"/>
    <n v="30"/>
    <n v="120"/>
    <n v="120"/>
    <n v="2023"/>
  </r>
  <r>
    <n v="478"/>
    <d v="2023-04-13T00:00:00"/>
    <x v="4"/>
    <s v="CUST478"/>
    <s v="Female"/>
    <n v="58"/>
    <x v="1"/>
    <n v="2"/>
    <n v="30"/>
    <n v="60"/>
    <n v="60"/>
    <n v="2023"/>
  </r>
  <r>
    <n v="479"/>
    <d v="2023-08-24T00:00:00"/>
    <x v="8"/>
    <s v="CUST479"/>
    <s v="Male"/>
    <n v="52"/>
    <x v="2"/>
    <n v="4"/>
    <n v="300"/>
    <n v="1200"/>
    <n v="1200"/>
    <n v="2023"/>
  </r>
  <r>
    <n v="480"/>
    <d v="2023-06-29T00:00:00"/>
    <x v="10"/>
    <s v="CUST480"/>
    <s v="Female"/>
    <n v="42"/>
    <x v="0"/>
    <n v="4"/>
    <n v="500"/>
    <n v="2000"/>
    <n v="2000"/>
    <n v="2023"/>
  </r>
  <r>
    <n v="481"/>
    <d v="2023-06-06T00:00:00"/>
    <x v="10"/>
    <s v="CUST481"/>
    <s v="Female"/>
    <n v="43"/>
    <x v="2"/>
    <n v="4"/>
    <n v="300"/>
    <n v="1200"/>
    <n v="1200"/>
    <n v="2023"/>
  </r>
  <r>
    <n v="482"/>
    <d v="2023-04-27T00:00:00"/>
    <x v="4"/>
    <s v="CUST482"/>
    <s v="Female"/>
    <n v="28"/>
    <x v="1"/>
    <n v="4"/>
    <n v="300"/>
    <n v="1200"/>
    <n v="1200"/>
    <n v="2023"/>
  </r>
  <r>
    <n v="483"/>
    <d v="2023-04-25T00:00:00"/>
    <x v="4"/>
    <s v="CUST483"/>
    <s v="Male"/>
    <n v="55"/>
    <x v="1"/>
    <n v="1"/>
    <n v="30"/>
    <n v="30"/>
    <n v="30"/>
    <n v="2023"/>
  </r>
  <r>
    <n v="484"/>
    <d v="2023-01-13T00:00:00"/>
    <x v="2"/>
    <s v="CUST484"/>
    <s v="Female"/>
    <n v="19"/>
    <x v="1"/>
    <n v="4"/>
    <n v="300"/>
    <n v="1200"/>
    <n v="1200"/>
    <n v="2023"/>
  </r>
  <r>
    <n v="485"/>
    <d v="2023-12-04T00:00:00"/>
    <x v="6"/>
    <s v="CUST485"/>
    <s v="Male"/>
    <n v="24"/>
    <x v="2"/>
    <n v="1"/>
    <n v="30"/>
    <n v="30"/>
    <n v="30"/>
    <n v="2023"/>
  </r>
  <r>
    <n v="486"/>
    <d v="2023-04-09T00:00:00"/>
    <x v="4"/>
    <s v="CUST486"/>
    <s v="Female"/>
    <n v="35"/>
    <x v="2"/>
    <n v="1"/>
    <n v="25"/>
    <n v="25"/>
    <n v="25"/>
    <n v="2023"/>
  </r>
  <r>
    <n v="487"/>
    <d v="2023-07-24T00:00:00"/>
    <x v="11"/>
    <s v="CUST487"/>
    <s v="Male"/>
    <n v="44"/>
    <x v="1"/>
    <n v="4"/>
    <n v="500"/>
    <n v="2000"/>
    <n v="2000"/>
    <n v="2023"/>
  </r>
  <r>
    <n v="488"/>
    <d v="2023-06-18T00:00:00"/>
    <x v="10"/>
    <s v="CUST488"/>
    <s v="Female"/>
    <n v="51"/>
    <x v="2"/>
    <n v="3"/>
    <n v="300"/>
    <n v="900"/>
    <n v="900"/>
    <n v="2023"/>
  </r>
  <r>
    <n v="489"/>
    <d v="2023-05-23T00:00:00"/>
    <x v="3"/>
    <s v="CUST489"/>
    <s v="Male"/>
    <n v="44"/>
    <x v="2"/>
    <n v="1"/>
    <n v="30"/>
    <n v="30"/>
    <n v="30"/>
    <n v="2023"/>
  </r>
  <r>
    <n v="490"/>
    <d v="2023-02-05T00:00:00"/>
    <x v="1"/>
    <s v="CUST490"/>
    <s v="Male"/>
    <n v="34"/>
    <x v="1"/>
    <n v="3"/>
    <n v="50"/>
    <n v="150"/>
    <n v="150"/>
    <n v="2023"/>
  </r>
  <r>
    <n v="491"/>
    <d v="2023-05-23T00:00:00"/>
    <x v="3"/>
    <s v="CUST491"/>
    <s v="Female"/>
    <n v="60"/>
    <x v="2"/>
    <n v="3"/>
    <n v="300"/>
    <n v="900"/>
    <n v="900"/>
    <n v="2023"/>
  </r>
  <r>
    <n v="492"/>
    <d v="2023-06-29T00:00:00"/>
    <x v="10"/>
    <s v="CUST492"/>
    <s v="Male"/>
    <n v="61"/>
    <x v="0"/>
    <n v="4"/>
    <n v="25"/>
    <n v="100"/>
    <n v="100"/>
    <n v="2023"/>
  </r>
  <r>
    <n v="493"/>
    <d v="2023-11-25T00:00:00"/>
    <x v="0"/>
    <s v="CUST493"/>
    <s v="Male"/>
    <n v="41"/>
    <x v="0"/>
    <n v="2"/>
    <n v="25"/>
    <n v="50"/>
    <n v="50"/>
    <n v="2023"/>
  </r>
  <r>
    <n v="494"/>
    <d v="2023-09-18T00:00:00"/>
    <x v="9"/>
    <s v="CUST494"/>
    <s v="Female"/>
    <n v="42"/>
    <x v="0"/>
    <n v="4"/>
    <n v="50"/>
    <n v="200"/>
    <n v="200"/>
    <n v="2023"/>
  </r>
  <r>
    <n v="495"/>
    <d v="2023-07-24T00:00:00"/>
    <x v="11"/>
    <s v="CUST495"/>
    <s v="Male"/>
    <n v="24"/>
    <x v="0"/>
    <n v="2"/>
    <n v="30"/>
    <n v="60"/>
    <n v="60"/>
    <n v="2023"/>
  </r>
  <r>
    <n v="496"/>
    <d v="2023-12-14T00:00:00"/>
    <x v="6"/>
    <s v="CUST496"/>
    <s v="Male"/>
    <n v="23"/>
    <x v="1"/>
    <n v="2"/>
    <n v="300"/>
    <n v="600"/>
    <n v="600"/>
    <n v="2023"/>
  </r>
  <r>
    <n v="497"/>
    <d v="2023-10-02T00:00:00"/>
    <x v="7"/>
    <s v="CUST497"/>
    <s v="Male"/>
    <n v="41"/>
    <x v="1"/>
    <n v="4"/>
    <n v="30"/>
    <n v="120"/>
    <n v="120"/>
    <n v="2023"/>
  </r>
  <r>
    <n v="498"/>
    <d v="2023-06-19T00:00:00"/>
    <x v="10"/>
    <s v="CUST498"/>
    <s v="Female"/>
    <n v="50"/>
    <x v="1"/>
    <n v="4"/>
    <n v="25"/>
    <n v="100"/>
    <n v="100"/>
    <n v="2023"/>
  </r>
  <r>
    <n v="499"/>
    <d v="2023-01-15T00:00:00"/>
    <x v="2"/>
    <s v="CUST499"/>
    <s v="Male"/>
    <n v="46"/>
    <x v="0"/>
    <n v="2"/>
    <n v="30"/>
    <n v="60"/>
    <n v="60"/>
    <n v="2023"/>
  </r>
  <r>
    <n v="500"/>
    <d v="2023-03-01T00:00:00"/>
    <x v="5"/>
    <s v="CUST500"/>
    <s v="Female"/>
    <n v="60"/>
    <x v="0"/>
    <n v="4"/>
    <n v="25"/>
    <n v="100"/>
    <n v="100"/>
    <n v="2023"/>
  </r>
  <r>
    <n v="501"/>
    <d v="2023-05-14T00:00:00"/>
    <x v="3"/>
    <s v="CUST501"/>
    <s v="Male"/>
    <n v="39"/>
    <x v="2"/>
    <n v="2"/>
    <n v="30"/>
    <n v="60"/>
    <n v="60"/>
    <n v="2023"/>
  </r>
  <r>
    <n v="502"/>
    <d v="2023-04-02T00:00:00"/>
    <x v="4"/>
    <s v="CUST502"/>
    <s v="Male"/>
    <n v="43"/>
    <x v="2"/>
    <n v="3"/>
    <n v="50"/>
    <n v="150"/>
    <n v="150"/>
    <n v="2023"/>
  </r>
  <r>
    <n v="503"/>
    <d v="2023-10-25T00:00:00"/>
    <x v="7"/>
    <s v="CUST503"/>
    <s v="Male"/>
    <n v="45"/>
    <x v="0"/>
    <n v="4"/>
    <n v="500"/>
    <n v="2000"/>
    <n v="2000"/>
    <n v="2023"/>
  </r>
  <r>
    <n v="504"/>
    <d v="2023-05-16T00:00:00"/>
    <x v="3"/>
    <s v="CUST504"/>
    <s v="Female"/>
    <n v="38"/>
    <x v="0"/>
    <n v="3"/>
    <n v="50"/>
    <n v="150"/>
    <n v="150"/>
    <n v="2023"/>
  </r>
  <r>
    <n v="505"/>
    <d v="2023-01-20T00:00:00"/>
    <x v="2"/>
    <s v="CUST505"/>
    <s v="Male"/>
    <n v="24"/>
    <x v="0"/>
    <n v="1"/>
    <n v="50"/>
    <n v="50"/>
    <n v="50"/>
    <n v="2023"/>
  </r>
  <r>
    <n v="506"/>
    <d v="2023-02-25T00:00:00"/>
    <x v="1"/>
    <s v="CUST506"/>
    <s v="Male"/>
    <n v="34"/>
    <x v="0"/>
    <n v="3"/>
    <n v="500"/>
    <n v="1500"/>
    <n v="1500"/>
    <n v="2023"/>
  </r>
  <r>
    <n v="507"/>
    <d v="2023-11-02T00:00:00"/>
    <x v="0"/>
    <s v="CUST507"/>
    <s v="Female"/>
    <n v="37"/>
    <x v="2"/>
    <n v="3"/>
    <n v="500"/>
    <n v="1500"/>
    <n v="1500"/>
    <n v="2023"/>
  </r>
  <r>
    <n v="508"/>
    <d v="2023-08-11T00:00:00"/>
    <x v="8"/>
    <s v="CUST508"/>
    <s v="Male"/>
    <n v="58"/>
    <x v="0"/>
    <n v="2"/>
    <n v="300"/>
    <n v="600"/>
    <n v="600"/>
    <n v="2023"/>
  </r>
  <r>
    <n v="509"/>
    <d v="2023-06-26T00:00:00"/>
    <x v="10"/>
    <s v="CUST509"/>
    <s v="Female"/>
    <n v="37"/>
    <x v="2"/>
    <n v="3"/>
    <n v="300"/>
    <n v="900"/>
    <n v="900"/>
    <n v="2023"/>
  </r>
  <r>
    <n v="510"/>
    <d v="2023-06-10T00:00:00"/>
    <x v="10"/>
    <s v="CUST510"/>
    <s v="Female"/>
    <n v="39"/>
    <x v="0"/>
    <n v="4"/>
    <n v="50"/>
    <n v="200"/>
    <n v="200"/>
    <n v="2023"/>
  </r>
  <r>
    <n v="511"/>
    <d v="2023-08-12T00:00:00"/>
    <x v="8"/>
    <s v="CUST511"/>
    <s v="Male"/>
    <n v="45"/>
    <x v="0"/>
    <n v="2"/>
    <n v="50"/>
    <n v="100"/>
    <n v="100"/>
    <n v="2023"/>
  </r>
  <r>
    <n v="512"/>
    <d v="2023-11-07T00:00:00"/>
    <x v="0"/>
    <s v="CUST512"/>
    <s v="Female"/>
    <n v="57"/>
    <x v="0"/>
    <n v="1"/>
    <n v="25"/>
    <n v="25"/>
    <n v="25"/>
    <n v="2023"/>
  </r>
  <r>
    <n v="513"/>
    <d v="2023-09-19T00:00:00"/>
    <x v="9"/>
    <s v="CUST513"/>
    <s v="Male"/>
    <n v="24"/>
    <x v="2"/>
    <n v="4"/>
    <n v="25"/>
    <n v="100"/>
    <n v="100"/>
    <n v="2023"/>
  </r>
  <r>
    <n v="514"/>
    <d v="2023-03-01T00:00:00"/>
    <x v="5"/>
    <s v="CUST514"/>
    <s v="Female"/>
    <n v="18"/>
    <x v="2"/>
    <n v="1"/>
    <n v="300"/>
    <n v="300"/>
    <n v="300"/>
    <n v="2023"/>
  </r>
  <r>
    <n v="515"/>
    <d v="2023-07-17T00:00:00"/>
    <x v="11"/>
    <s v="CUST515"/>
    <s v="Female"/>
    <n v="49"/>
    <x v="1"/>
    <n v="3"/>
    <n v="300"/>
    <n v="900"/>
    <n v="900"/>
    <n v="2023"/>
  </r>
  <r>
    <n v="516"/>
    <d v="2023-10-23T00:00:00"/>
    <x v="7"/>
    <s v="CUST516"/>
    <s v="Male"/>
    <n v="30"/>
    <x v="0"/>
    <n v="4"/>
    <n v="25"/>
    <n v="100"/>
    <n v="100"/>
    <n v="2023"/>
  </r>
  <r>
    <n v="517"/>
    <d v="2023-04-08T00:00:00"/>
    <x v="4"/>
    <s v="CUST517"/>
    <s v="Female"/>
    <n v="47"/>
    <x v="1"/>
    <n v="4"/>
    <n v="25"/>
    <n v="100"/>
    <n v="100"/>
    <n v="2023"/>
  </r>
  <r>
    <n v="518"/>
    <d v="2023-05-11T00:00:00"/>
    <x v="3"/>
    <s v="CUST518"/>
    <s v="Female"/>
    <n v="40"/>
    <x v="1"/>
    <n v="1"/>
    <n v="30"/>
    <n v="30"/>
    <n v="30"/>
    <n v="2023"/>
  </r>
  <r>
    <n v="519"/>
    <d v="2023-01-23T00:00:00"/>
    <x v="2"/>
    <s v="CUST519"/>
    <s v="Female"/>
    <n v="36"/>
    <x v="2"/>
    <n v="4"/>
    <n v="30"/>
    <n v="120"/>
    <n v="120"/>
    <n v="2023"/>
  </r>
  <r>
    <n v="520"/>
    <d v="2023-12-29T00:00:00"/>
    <x v="6"/>
    <s v="CUST520"/>
    <s v="Female"/>
    <n v="49"/>
    <x v="2"/>
    <n v="4"/>
    <n v="25"/>
    <n v="100"/>
    <n v="100"/>
    <n v="2023"/>
  </r>
  <r>
    <n v="521"/>
    <d v="2023-08-12T00:00:00"/>
    <x v="8"/>
    <s v="CUST521"/>
    <s v="Female"/>
    <n v="47"/>
    <x v="1"/>
    <n v="4"/>
    <n v="30"/>
    <n v="120"/>
    <n v="120"/>
    <n v="2023"/>
  </r>
  <r>
    <n v="522"/>
    <d v="2023-01-01T00:00:00"/>
    <x v="2"/>
    <s v="CUST522"/>
    <s v="Male"/>
    <n v="46"/>
    <x v="0"/>
    <n v="3"/>
    <n v="500"/>
    <n v="1500"/>
    <n v="1500"/>
    <n v="2023"/>
  </r>
  <r>
    <n v="523"/>
    <d v="2023-09-24T00:00:00"/>
    <x v="9"/>
    <s v="CUST523"/>
    <s v="Female"/>
    <n v="62"/>
    <x v="2"/>
    <n v="1"/>
    <n v="300"/>
    <n v="300"/>
    <n v="300"/>
    <n v="2023"/>
  </r>
  <r>
    <n v="524"/>
    <d v="2023-10-03T00:00:00"/>
    <x v="7"/>
    <s v="CUST524"/>
    <s v="Male"/>
    <n v="46"/>
    <x v="0"/>
    <n v="4"/>
    <n v="300"/>
    <n v="1200"/>
    <n v="1200"/>
    <n v="2023"/>
  </r>
  <r>
    <n v="525"/>
    <d v="2023-12-18T00:00:00"/>
    <x v="6"/>
    <s v="CUST525"/>
    <s v="Female"/>
    <n v="47"/>
    <x v="0"/>
    <n v="2"/>
    <n v="25"/>
    <n v="50"/>
    <n v="50"/>
    <n v="2023"/>
  </r>
  <r>
    <n v="526"/>
    <d v="2023-12-10T00:00:00"/>
    <x v="6"/>
    <s v="CUST526"/>
    <s v="Male"/>
    <n v="33"/>
    <x v="1"/>
    <n v="2"/>
    <n v="50"/>
    <n v="100"/>
    <n v="100"/>
    <n v="2023"/>
  </r>
  <r>
    <n v="527"/>
    <d v="2023-04-11T00:00:00"/>
    <x v="4"/>
    <s v="CUST527"/>
    <s v="Male"/>
    <n v="57"/>
    <x v="1"/>
    <n v="2"/>
    <n v="25"/>
    <n v="50"/>
    <n v="50"/>
    <n v="2023"/>
  </r>
  <r>
    <n v="528"/>
    <d v="2023-07-06T00:00:00"/>
    <x v="11"/>
    <s v="CUST528"/>
    <s v="Female"/>
    <n v="36"/>
    <x v="1"/>
    <n v="2"/>
    <n v="30"/>
    <n v="60"/>
    <n v="60"/>
    <n v="2023"/>
  </r>
  <r>
    <n v="529"/>
    <d v="2023-08-09T00:00:00"/>
    <x v="8"/>
    <s v="CUST529"/>
    <s v="Female"/>
    <n v="35"/>
    <x v="1"/>
    <n v="3"/>
    <n v="50"/>
    <n v="150"/>
    <n v="150"/>
    <n v="2023"/>
  </r>
  <r>
    <n v="530"/>
    <d v="2023-02-05T00:00:00"/>
    <x v="1"/>
    <s v="CUST530"/>
    <s v="Female"/>
    <n v="18"/>
    <x v="2"/>
    <n v="4"/>
    <n v="30"/>
    <n v="120"/>
    <n v="120"/>
    <n v="2023"/>
  </r>
  <r>
    <n v="531"/>
    <d v="2023-12-07T00:00:00"/>
    <x v="6"/>
    <s v="CUST531"/>
    <s v="Male"/>
    <n v="31"/>
    <x v="2"/>
    <n v="1"/>
    <n v="500"/>
    <n v="500"/>
    <n v="500"/>
    <n v="2023"/>
  </r>
  <r>
    <n v="532"/>
    <d v="2023-06-19T00:00:00"/>
    <x v="10"/>
    <s v="CUST532"/>
    <s v="Female"/>
    <n v="64"/>
    <x v="1"/>
    <n v="4"/>
    <n v="30"/>
    <n v="120"/>
    <n v="120"/>
    <n v="2023"/>
  </r>
  <r>
    <n v="533"/>
    <d v="2023-11-16T00:00:00"/>
    <x v="0"/>
    <s v="CUST533"/>
    <s v="Male"/>
    <n v="19"/>
    <x v="2"/>
    <n v="3"/>
    <n v="500"/>
    <n v="1500"/>
    <n v="1500"/>
    <n v="2023"/>
  </r>
  <r>
    <n v="534"/>
    <d v="2023-06-10T00:00:00"/>
    <x v="10"/>
    <s v="CUST534"/>
    <s v="Male"/>
    <n v="45"/>
    <x v="1"/>
    <n v="2"/>
    <n v="500"/>
    <n v="1000"/>
    <n v="1000"/>
    <n v="2023"/>
  </r>
  <r>
    <n v="535"/>
    <d v="2023-12-06T00:00:00"/>
    <x v="6"/>
    <s v="CUST535"/>
    <s v="Male"/>
    <n v="47"/>
    <x v="0"/>
    <n v="3"/>
    <n v="30"/>
    <n v="90"/>
    <n v="90"/>
    <n v="2023"/>
  </r>
  <r>
    <n v="536"/>
    <d v="2023-03-05T00:00:00"/>
    <x v="5"/>
    <s v="CUST536"/>
    <s v="Female"/>
    <n v="55"/>
    <x v="0"/>
    <n v="4"/>
    <n v="30"/>
    <n v="120"/>
    <n v="120"/>
    <n v="2023"/>
  </r>
  <r>
    <n v="537"/>
    <d v="2023-06-03T00:00:00"/>
    <x v="10"/>
    <s v="CUST537"/>
    <s v="Female"/>
    <n v="21"/>
    <x v="0"/>
    <n v="1"/>
    <n v="500"/>
    <n v="500"/>
    <n v="500"/>
    <n v="2023"/>
  </r>
  <r>
    <n v="538"/>
    <d v="2023-09-17T00:00:00"/>
    <x v="9"/>
    <s v="CUST538"/>
    <s v="Male"/>
    <n v="18"/>
    <x v="1"/>
    <n v="3"/>
    <n v="50"/>
    <n v="150"/>
    <n v="150"/>
    <n v="2023"/>
  </r>
  <r>
    <n v="539"/>
    <d v="2023-06-08T00:00:00"/>
    <x v="10"/>
    <s v="CUST539"/>
    <s v="Male"/>
    <n v="25"/>
    <x v="0"/>
    <n v="1"/>
    <n v="500"/>
    <n v="500"/>
    <n v="500"/>
    <n v="2023"/>
  </r>
  <r>
    <n v="540"/>
    <d v="2023-12-08T00:00:00"/>
    <x v="6"/>
    <s v="CUST540"/>
    <s v="Female"/>
    <n v="46"/>
    <x v="2"/>
    <n v="3"/>
    <n v="300"/>
    <n v="900"/>
    <n v="900"/>
    <n v="2023"/>
  </r>
  <r>
    <n v="541"/>
    <d v="2023-07-29T00:00:00"/>
    <x v="11"/>
    <s v="CUST541"/>
    <s v="Male"/>
    <n v="56"/>
    <x v="0"/>
    <n v="1"/>
    <n v="500"/>
    <n v="500"/>
    <n v="500"/>
    <n v="2023"/>
  </r>
  <r>
    <n v="542"/>
    <d v="2023-06-17T00:00:00"/>
    <x v="10"/>
    <s v="CUST542"/>
    <s v="Female"/>
    <n v="20"/>
    <x v="0"/>
    <n v="1"/>
    <n v="50"/>
    <n v="50"/>
    <n v="50"/>
    <n v="2023"/>
  </r>
  <r>
    <n v="543"/>
    <d v="2023-07-26T00:00:00"/>
    <x v="11"/>
    <s v="CUST543"/>
    <s v="Male"/>
    <n v="49"/>
    <x v="0"/>
    <n v="2"/>
    <n v="300"/>
    <n v="600"/>
    <n v="600"/>
    <n v="2023"/>
  </r>
  <r>
    <n v="544"/>
    <d v="2023-12-23T00:00:00"/>
    <x v="6"/>
    <s v="CUST544"/>
    <s v="Female"/>
    <n v="27"/>
    <x v="2"/>
    <n v="1"/>
    <n v="25"/>
    <n v="25"/>
    <n v="25"/>
    <n v="2023"/>
  </r>
  <r>
    <n v="545"/>
    <d v="2023-06-01T00:00:00"/>
    <x v="10"/>
    <s v="CUST545"/>
    <s v="Male"/>
    <n v="27"/>
    <x v="1"/>
    <n v="2"/>
    <n v="25"/>
    <n v="50"/>
    <n v="50"/>
    <n v="2023"/>
  </r>
  <r>
    <n v="546"/>
    <d v="2023-10-11T00:00:00"/>
    <x v="7"/>
    <s v="CUST546"/>
    <s v="Female"/>
    <n v="36"/>
    <x v="2"/>
    <n v="4"/>
    <n v="50"/>
    <n v="200"/>
    <n v="200"/>
    <n v="2023"/>
  </r>
  <r>
    <n v="547"/>
    <d v="2023-03-07T00:00:00"/>
    <x v="5"/>
    <s v="CUST547"/>
    <s v="Male"/>
    <n v="63"/>
    <x v="1"/>
    <n v="4"/>
    <n v="500"/>
    <n v="2000"/>
    <n v="2000"/>
    <n v="2023"/>
  </r>
  <r>
    <n v="548"/>
    <d v="2023-04-09T00:00:00"/>
    <x v="4"/>
    <s v="CUST548"/>
    <s v="Female"/>
    <n v="51"/>
    <x v="1"/>
    <n v="2"/>
    <n v="30"/>
    <n v="60"/>
    <n v="60"/>
    <n v="2023"/>
  </r>
  <r>
    <n v="549"/>
    <d v="2023-08-04T00:00:00"/>
    <x v="8"/>
    <s v="CUST549"/>
    <s v="Female"/>
    <n v="50"/>
    <x v="0"/>
    <n v="2"/>
    <n v="50"/>
    <n v="100"/>
    <n v="100"/>
    <n v="2023"/>
  </r>
  <r>
    <n v="550"/>
    <d v="2023-12-07T00:00:00"/>
    <x v="6"/>
    <s v="CUST550"/>
    <s v="Male"/>
    <n v="40"/>
    <x v="1"/>
    <n v="3"/>
    <n v="300"/>
    <n v="900"/>
    <n v="900"/>
    <n v="2023"/>
  </r>
  <r>
    <n v="551"/>
    <d v="2023-07-14T00:00:00"/>
    <x v="11"/>
    <s v="CUST551"/>
    <s v="Male"/>
    <n v="45"/>
    <x v="2"/>
    <n v="3"/>
    <n v="300"/>
    <n v="900"/>
    <n v="900"/>
    <n v="2023"/>
  </r>
  <r>
    <n v="552"/>
    <d v="2023-12-13T00:00:00"/>
    <x v="6"/>
    <s v="CUST552"/>
    <s v="Female"/>
    <n v="49"/>
    <x v="2"/>
    <n v="3"/>
    <n v="25"/>
    <n v="75"/>
    <n v="75"/>
    <n v="2023"/>
  </r>
  <r>
    <n v="553"/>
    <d v="2023-03-31T00:00:00"/>
    <x v="5"/>
    <s v="CUST553"/>
    <s v="Male"/>
    <n v="24"/>
    <x v="1"/>
    <n v="4"/>
    <n v="300"/>
    <n v="1200"/>
    <n v="1200"/>
    <n v="2023"/>
  </r>
  <r>
    <n v="554"/>
    <d v="2023-11-12T00:00:00"/>
    <x v="0"/>
    <s v="CUST554"/>
    <s v="Female"/>
    <n v="46"/>
    <x v="0"/>
    <n v="3"/>
    <n v="50"/>
    <n v="150"/>
    <n v="150"/>
    <n v="2023"/>
  </r>
  <r>
    <n v="555"/>
    <d v="2023-10-19T00:00:00"/>
    <x v="7"/>
    <s v="CUST555"/>
    <s v="Male"/>
    <n v="25"/>
    <x v="0"/>
    <n v="1"/>
    <n v="300"/>
    <n v="300"/>
    <n v="300"/>
    <n v="2023"/>
  </r>
  <r>
    <n v="556"/>
    <d v="2023-06-04T00:00:00"/>
    <x v="10"/>
    <s v="CUST556"/>
    <s v="Female"/>
    <n v="18"/>
    <x v="2"/>
    <n v="1"/>
    <n v="50"/>
    <n v="50"/>
    <n v="50"/>
    <n v="2023"/>
  </r>
  <r>
    <n v="557"/>
    <d v="2023-07-27T00:00:00"/>
    <x v="11"/>
    <s v="CUST557"/>
    <s v="Female"/>
    <n v="20"/>
    <x v="0"/>
    <n v="3"/>
    <n v="30"/>
    <n v="90"/>
    <n v="90"/>
    <n v="2023"/>
  </r>
  <r>
    <n v="558"/>
    <d v="2023-10-08T00:00:00"/>
    <x v="7"/>
    <s v="CUST558"/>
    <s v="Female"/>
    <n v="41"/>
    <x v="1"/>
    <n v="1"/>
    <n v="25"/>
    <n v="25"/>
    <n v="25"/>
    <n v="2023"/>
  </r>
  <r>
    <n v="559"/>
    <d v="2023-01-01T00:00:00"/>
    <x v="2"/>
    <s v="CUST559"/>
    <s v="Female"/>
    <n v="40"/>
    <x v="1"/>
    <n v="4"/>
    <n v="300"/>
    <n v="1200"/>
    <n v="1200"/>
    <n v="2023"/>
  </r>
  <r>
    <n v="560"/>
    <d v="2023-06-05T00:00:00"/>
    <x v="10"/>
    <s v="CUST560"/>
    <s v="Female"/>
    <n v="25"/>
    <x v="2"/>
    <n v="1"/>
    <n v="50"/>
    <n v="50"/>
    <n v="50"/>
    <n v="2023"/>
  </r>
  <r>
    <n v="561"/>
    <d v="2023-05-27T00:00:00"/>
    <x v="3"/>
    <s v="CUST561"/>
    <s v="Female"/>
    <n v="64"/>
    <x v="1"/>
    <n v="4"/>
    <n v="500"/>
    <n v="2000"/>
    <n v="2000"/>
    <n v="2023"/>
  </r>
  <r>
    <n v="562"/>
    <d v="2023-04-18T00:00:00"/>
    <x v="4"/>
    <s v="CUST562"/>
    <s v="Male"/>
    <n v="54"/>
    <x v="2"/>
    <n v="2"/>
    <n v="25"/>
    <n v="50"/>
    <n v="50"/>
    <n v="2023"/>
  </r>
  <r>
    <n v="563"/>
    <d v="2023-08-09T00:00:00"/>
    <x v="8"/>
    <s v="CUST563"/>
    <s v="Male"/>
    <n v="20"/>
    <x v="1"/>
    <n v="2"/>
    <n v="30"/>
    <n v="60"/>
    <n v="60"/>
    <n v="2023"/>
  </r>
  <r>
    <n v="564"/>
    <d v="2023-10-24T00:00:00"/>
    <x v="7"/>
    <s v="CUST564"/>
    <s v="Male"/>
    <n v="50"/>
    <x v="2"/>
    <n v="2"/>
    <n v="50"/>
    <n v="100"/>
    <n v="100"/>
    <n v="2023"/>
  </r>
  <r>
    <n v="565"/>
    <d v="2023-11-07T00:00:00"/>
    <x v="0"/>
    <s v="CUST565"/>
    <s v="Female"/>
    <n v="45"/>
    <x v="0"/>
    <n v="2"/>
    <n v="30"/>
    <n v="60"/>
    <n v="60"/>
    <n v="2023"/>
  </r>
  <r>
    <n v="566"/>
    <d v="2023-12-02T00:00:00"/>
    <x v="6"/>
    <s v="CUST566"/>
    <s v="Female"/>
    <n v="64"/>
    <x v="1"/>
    <n v="1"/>
    <n v="30"/>
    <n v="30"/>
    <n v="30"/>
    <n v="2023"/>
  </r>
  <r>
    <n v="567"/>
    <d v="2023-06-14T00:00:00"/>
    <x v="10"/>
    <s v="CUST567"/>
    <s v="Female"/>
    <n v="25"/>
    <x v="1"/>
    <n v="3"/>
    <n v="300"/>
    <n v="900"/>
    <n v="900"/>
    <n v="2023"/>
  </r>
  <r>
    <n v="568"/>
    <d v="2023-08-27T00:00:00"/>
    <x v="8"/>
    <s v="CUST568"/>
    <s v="Female"/>
    <n v="51"/>
    <x v="2"/>
    <n v="1"/>
    <n v="300"/>
    <n v="300"/>
    <n v="300"/>
    <n v="2023"/>
  </r>
  <r>
    <n v="569"/>
    <d v="2023-08-15T00:00:00"/>
    <x v="8"/>
    <s v="CUST569"/>
    <s v="Male"/>
    <n v="52"/>
    <x v="2"/>
    <n v="4"/>
    <n v="50"/>
    <n v="200"/>
    <n v="200"/>
    <n v="2023"/>
  </r>
  <r>
    <n v="570"/>
    <d v="2023-08-15T00:00:00"/>
    <x v="8"/>
    <s v="CUST570"/>
    <s v="Male"/>
    <n v="49"/>
    <x v="1"/>
    <n v="1"/>
    <n v="500"/>
    <n v="500"/>
    <n v="500"/>
    <n v="2023"/>
  </r>
  <r>
    <n v="571"/>
    <d v="2023-12-12T00:00:00"/>
    <x v="6"/>
    <s v="CUST571"/>
    <s v="Female"/>
    <n v="41"/>
    <x v="2"/>
    <n v="1"/>
    <n v="50"/>
    <n v="50"/>
    <n v="50"/>
    <n v="2023"/>
  </r>
  <r>
    <n v="572"/>
    <d v="2023-04-20T00:00:00"/>
    <x v="4"/>
    <s v="CUST572"/>
    <s v="Male"/>
    <n v="31"/>
    <x v="1"/>
    <n v="4"/>
    <n v="500"/>
    <n v="2000"/>
    <n v="2000"/>
    <n v="2023"/>
  </r>
  <r>
    <n v="573"/>
    <d v="2023-09-19T00:00:00"/>
    <x v="9"/>
    <s v="CUST573"/>
    <s v="Male"/>
    <n v="49"/>
    <x v="0"/>
    <n v="2"/>
    <n v="30"/>
    <n v="60"/>
    <n v="60"/>
    <n v="2023"/>
  </r>
  <r>
    <n v="574"/>
    <d v="2023-08-31T00:00:00"/>
    <x v="8"/>
    <s v="CUST574"/>
    <s v="Female"/>
    <n v="63"/>
    <x v="2"/>
    <n v="2"/>
    <n v="25"/>
    <n v="50"/>
    <n v="50"/>
    <n v="2023"/>
  </r>
  <r>
    <n v="575"/>
    <d v="2023-03-28T00:00:00"/>
    <x v="5"/>
    <s v="CUST575"/>
    <s v="Male"/>
    <n v="60"/>
    <x v="1"/>
    <n v="2"/>
    <n v="50"/>
    <n v="100"/>
    <n v="100"/>
    <n v="2023"/>
  </r>
  <r>
    <n v="576"/>
    <d v="2023-12-04T00:00:00"/>
    <x v="6"/>
    <s v="CUST576"/>
    <s v="Female"/>
    <n v="33"/>
    <x v="0"/>
    <n v="3"/>
    <n v="50"/>
    <n v="150"/>
    <n v="150"/>
    <n v="2023"/>
  </r>
  <r>
    <n v="577"/>
    <d v="2023-02-13T00:00:00"/>
    <x v="1"/>
    <s v="CUST577"/>
    <s v="Male"/>
    <n v="21"/>
    <x v="0"/>
    <n v="4"/>
    <n v="500"/>
    <n v="2000"/>
    <n v="2000"/>
    <n v="2023"/>
  </r>
  <r>
    <n v="578"/>
    <d v="2023-05-26T00:00:00"/>
    <x v="3"/>
    <s v="CUST578"/>
    <s v="Female"/>
    <n v="54"/>
    <x v="1"/>
    <n v="4"/>
    <n v="30"/>
    <n v="120"/>
    <n v="120"/>
    <n v="2023"/>
  </r>
  <r>
    <n v="579"/>
    <d v="2023-09-21T00:00:00"/>
    <x v="9"/>
    <s v="CUST579"/>
    <s v="Female"/>
    <n v="38"/>
    <x v="2"/>
    <n v="1"/>
    <n v="30"/>
    <n v="30"/>
    <n v="30"/>
    <n v="2023"/>
  </r>
  <r>
    <n v="580"/>
    <d v="2023-12-06T00:00:00"/>
    <x v="6"/>
    <s v="CUST580"/>
    <s v="Female"/>
    <n v="31"/>
    <x v="1"/>
    <n v="3"/>
    <n v="500"/>
    <n v="1500"/>
    <n v="1500"/>
    <n v="2023"/>
  </r>
  <r>
    <n v="581"/>
    <d v="2023-11-21T00:00:00"/>
    <x v="0"/>
    <s v="CUST581"/>
    <s v="Female"/>
    <n v="48"/>
    <x v="0"/>
    <n v="2"/>
    <n v="30"/>
    <n v="60"/>
    <n v="60"/>
    <n v="2023"/>
  </r>
  <r>
    <n v="582"/>
    <d v="2023-11-14T00:00:00"/>
    <x v="0"/>
    <s v="CUST582"/>
    <s v="Male"/>
    <n v="35"/>
    <x v="1"/>
    <n v="3"/>
    <n v="300"/>
    <n v="900"/>
    <n v="900"/>
    <n v="2023"/>
  </r>
  <r>
    <n v="583"/>
    <d v="2023-06-21T00:00:00"/>
    <x v="10"/>
    <s v="CUST583"/>
    <s v="Female"/>
    <n v="24"/>
    <x v="2"/>
    <n v="4"/>
    <n v="25"/>
    <n v="100"/>
    <n v="100"/>
    <n v="2023"/>
  </r>
  <r>
    <n v="584"/>
    <d v="2023-02-17T00:00:00"/>
    <x v="1"/>
    <s v="CUST584"/>
    <s v="Female"/>
    <n v="27"/>
    <x v="0"/>
    <n v="4"/>
    <n v="50"/>
    <n v="200"/>
    <n v="200"/>
    <n v="2023"/>
  </r>
  <r>
    <n v="585"/>
    <d v="2023-05-01T00:00:00"/>
    <x v="3"/>
    <s v="CUST585"/>
    <s v="Female"/>
    <n v="24"/>
    <x v="1"/>
    <n v="1"/>
    <n v="25"/>
    <n v="25"/>
    <n v="25"/>
    <n v="2023"/>
  </r>
  <r>
    <n v="586"/>
    <d v="2023-12-11T00:00:00"/>
    <x v="6"/>
    <s v="CUST586"/>
    <s v="Male"/>
    <n v="50"/>
    <x v="2"/>
    <n v="1"/>
    <n v="50"/>
    <n v="50"/>
    <n v="50"/>
    <n v="2023"/>
  </r>
  <r>
    <n v="587"/>
    <d v="2023-06-08T00:00:00"/>
    <x v="10"/>
    <s v="CUST587"/>
    <s v="Female"/>
    <n v="40"/>
    <x v="0"/>
    <n v="4"/>
    <n v="300"/>
    <n v="1200"/>
    <n v="1200"/>
    <n v="2023"/>
  </r>
  <r>
    <n v="588"/>
    <d v="2023-04-26T00:00:00"/>
    <x v="4"/>
    <s v="CUST588"/>
    <s v="Male"/>
    <n v="38"/>
    <x v="2"/>
    <n v="2"/>
    <n v="30"/>
    <n v="60"/>
    <n v="60"/>
    <n v="2023"/>
  </r>
  <r>
    <n v="589"/>
    <d v="2023-04-12T00:00:00"/>
    <x v="4"/>
    <s v="CUST589"/>
    <s v="Female"/>
    <n v="36"/>
    <x v="0"/>
    <n v="2"/>
    <n v="500"/>
    <n v="1000"/>
    <n v="1000"/>
    <n v="2023"/>
  </r>
  <r>
    <n v="590"/>
    <d v="2023-03-17T00:00:00"/>
    <x v="5"/>
    <s v="CUST590"/>
    <s v="Male"/>
    <n v="36"/>
    <x v="1"/>
    <n v="3"/>
    <n v="300"/>
    <n v="900"/>
    <n v="900"/>
    <n v="2023"/>
  </r>
  <r>
    <n v="591"/>
    <d v="2023-01-13T00:00:00"/>
    <x v="2"/>
    <s v="CUST591"/>
    <s v="Male"/>
    <n v="53"/>
    <x v="2"/>
    <n v="4"/>
    <n v="25"/>
    <n v="100"/>
    <n v="100"/>
    <n v="2023"/>
  </r>
  <r>
    <n v="592"/>
    <d v="2023-01-24T00:00:00"/>
    <x v="2"/>
    <s v="CUST592"/>
    <s v="Female"/>
    <n v="46"/>
    <x v="0"/>
    <n v="4"/>
    <n v="500"/>
    <n v="2000"/>
    <n v="2000"/>
    <n v="2023"/>
  </r>
  <r>
    <n v="593"/>
    <d v="2023-05-06T00:00:00"/>
    <x v="3"/>
    <s v="CUST593"/>
    <s v="Male"/>
    <n v="35"/>
    <x v="2"/>
    <n v="2"/>
    <n v="30"/>
    <n v="60"/>
    <n v="60"/>
    <n v="2023"/>
  </r>
  <r>
    <n v="594"/>
    <d v="2023-09-01T00:00:00"/>
    <x v="9"/>
    <s v="CUST594"/>
    <s v="Female"/>
    <n v="19"/>
    <x v="2"/>
    <n v="2"/>
    <n v="300"/>
    <n v="600"/>
    <n v="600"/>
    <n v="2023"/>
  </r>
  <r>
    <n v="595"/>
    <d v="2023-11-09T00:00:00"/>
    <x v="0"/>
    <s v="CUST595"/>
    <s v="Female"/>
    <n v="18"/>
    <x v="1"/>
    <n v="4"/>
    <n v="500"/>
    <n v="2000"/>
    <n v="2000"/>
    <n v="2023"/>
  </r>
  <r>
    <n v="596"/>
    <d v="2023-02-07T00:00:00"/>
    <x v="1"/>
    <s v="CUST596"/>
    <s v="Female"/>
    <n v="64"/>
    <x v="2"/>
    <n v="1"/>
    <n v="300"/>
    <n v="300"/>
    <n v="300"/>
    <n v="2023"/>
  </r>
  <r>
    <n v="597"/>
    <d v="2023-08-22T00:00:00"/>
    <x v="8"/>
    <s v="CUST597"/>
    <s v="Male"/>
    <n v="22"/>
    <x v="0"/>
    <n v="4"/>
    <n v="300"/>
    <n v="1200"/>
    <n v="1200"/>
    <n v="2023"/>
  </r>
  <r>
    <n v="598"/>
    <d v="2023-08-01T00:00:00"/>
    <x v="8"/>
    <s v="CUST598"/>
    <s v="Male"/>
    <n v="37"/>
    <x v="0"/>
    <n v="4"/>
    <n v="30"/>
    <n v="120"/>
    <n v="120"/>
    <n v="2023"/>
  </r>
  <r>
    <n v="599"/>
    <d v="2023-11-19T00:00:00"/>
    <x v="0"/>
    <s v="CUST599"/>
    <s v="Female"/>
    <n v="28"/>
    <x v="0"/>
    <n v="2"/>
    <n v="50"/>
    <n v="100"/>
    <n v="100"/>
    <n v="2023"/>
  </r>
  <r>
    <n v="600"/>
    <d v="2023-10-22T00:00:00"/>
    <x v="7"/>
    <s v="CUST600"/>
    <s v="Female"/>
    <n v="59"/>
    <x v="0"/>
    <n v="2"/>
    <n v="500"/>
    <n v="1000"/>
    <n v="1000"/>
    <n v="2023"/>
  </r>
  <r>
    <n v="601"/>
    <d v="2023-04-10T00:00:00"/>
    <x v="4"/>
    <s v="CUST601"/>
    <s v="Male"/>
    <n v="19"/>
    <x v="1"/>
    <n v="1"/>
    <n v="30"/>
    <n v="30"/>
    <n v="30"/>
    <n v="2023"/>
  </r>
  <r>
    <n v="602"/>
    <d v="2023-12-23T00:00:00"/>
    <x v="6"/>
    <s v="CUST602"/>
    <s v="Female"/>
    <n v="20"/>
    <x v="2"/>
    <n v="1"/>
    <n v="300"/>
    <n v="300"/>
    <n v="300"/>
    <n v="2023"/>
  </r>
  <r>
    <n v="603"/>
    <d v="2023-07-16T00:00:00"/>
    <x v="11"/>
    <s v="CUST603"/>
    <s v="Female"/>
    <n v="40"/>
    <x v="1"/>
    <n v="3"/>
    <n v="30"/>
    <n v="90"/>
    <n v="90"/>
    <n v="2023"/>
  </r>
  <r>
    <n v="604"/>
    <d v="2023-09-11T00:00:00"/>
    <x v="9"/>
    <s v="CUST604"/>
    <s v="Female"/>
    <n v="29"/>
    <x v="2"/>
    <n v="4"/>
    <n v="50"/>
    <n v="200"/>
    <n v="200"/>
    <n v="2023"/>
  </r>
  <r>
    <n v="605"/>
    <d v="2023-07-24T00:00:00"/>
    <x v="11"/>
    <s v="CUST605"/>
    <s v="Male"/>
    <n v="37"/>
    <x v="2"/>
    <n v="2"/>
    <n v="500"/>
    <n v="1000"/>
    <n v="1000"/>
    <n v="2023"/>
  </r>
  <r>
    <n v="606"/>
    <d v="2023-05-05T00:00:00"/>
    <x v="3"/>
    <s v="CUST606"/>
    <s v="Male"/>
    <n v="22"/>
    <x v="2"/>
    <n v="1"/>
    <n v="50"/>
    <n v="50"/>
    <n v="50"/>
    <n v="2023"/>
  </r>
  <r>
    <n v="607"/>
    <d v="2023-03-17T00:00:00"/>
    <x v="5"/>
    <s v="CUST607"/>
    <s v="Male"/>
    <n v="54"/>
    <x v="1"/>
    <n v="3"/>
    <n v="25"/>
    <n v="75"/>
    <n v="75"/>
    <n v="2023"/>
  </r>
  <r>
    <n v="608"/>
    <d v="2023-12-02T00:00:00"/>
    <x v="6"/>
    <s v="CUST608"/>
    <s v="Female"/>
    <n v="55"/>
    <x v="2"/>
    <n v="3"/>
    <n v="500"/>
    <n v="1500"/>
    <n v="1500"/>
    <n v="2023"/>
  </r>
  <r>
    <n v="609"/>
    <d v="2023-12-19T00:00:00"/>
    <x v="6"/>
    <s v="CUST609"/>
    <s v="Female"/>
    <n v="47"/>
    <x v="1"/>
    <n v="2"/>
    <n v="50"/>
    <n v="100"/>
    <n v="100"/>
    <n v="2023"/>
  </r>
  <r>
    <n v="610"/>
    <d v="2023-01-03T00:00:00"/>
    <x v="2"/>
    <s v="CUST610"/>
    <s v="Female"/>
    <n v="26"/>
    <x v="0"/>
    <n v="2"/>
    <n v="300"/>
    <n v="600"/>
    <n v="600"/>
    <n v="2023"/>
  </r>
  <r>
    <n v="611"/>
    <d v="2023-02-24T00:00:00"/>
    <x v="1"/>
    <s v="CUST611"/>
    <s v="Male"/>
    <n v="51"/>
    <x v="0"/>
    <n v="3"/>
    <n v="500"/>
    <n v="1500"/>
    <n v="1500"/>
    <n v="2023"/>
  </r>
  <r>
    <n v="612"/>
    <d v="2023-08-06T00:00:00"/>
    <x v="8"/>
    <s v="CUST612"/>
    <s v="Female"/>
    <n v="61"/>
    <x v="2"/>
    <n v="1"/>
    <n v="500"/>
    <n v="500"/>
    <n v="500"/>
    <n v="2023"/>
  </r>
  <r>
    <n v="613"/>
    <d v="2023-04-23T00:00:00"/>
    <x v="4"/>
    <s v="CUST613"/>
    <s v="Female"/>
    <n v="52"/>
    <x v="1"/>
    <n v="3"/>
    <n v="30"/>
    <n v="90"/>
    <n v="90"/>
    <n v="2023"/>
  </r>
  <r>
    <n v="614"/>
    <d v="2023-04-01T00:00:00"/>
    <x v="4"/>
    <s v="CUST614"/>
    <s v="Female"/>
    <n v="39"/>
    <x v="0"/>
    <n v="4"/>
    <n v="300"/>
    <n v="1200"/>
    <n v="1200"/>
    <n v="2023"/>
  </r>
  <r>
    <n v="615"/>
    <d v="2023-12-23T00:00:00"/>
    <x v="6"/>
    <s v="CUST615"/>
    <s v="Female"/>
    <n v="61"/>
    <x v="1"/>
    <n v="4"/>
    <n v="25"/>
    <n v="100"/>
    <n v="100"/>
    <n v="2023"/>
  </r>
  <r>
    <n v="616"/>
    <d v="2023-09-23T00:00:00"/>
    <x v="9"/>
    <s v="CUST616"/>
    <s v="Male"/>
    <n v="41"/>
    <x v="1"/>
    <n v="2"/>
    <n v="50"/>
    <n v="100"/>
    <n v="100"/>
    <n v="2023"/>
  </r>
  <r>
    <n v="617"/>
    <d v="2023-08-26T00:00:00"/>
    <x v="8"/>
    <s v="CUST617"/>
    <s v="Male"/>
    <n v="34"/>
    <x v="2"/>
    <n v="1"/>
    <n v="30"/>
    <n v="30"/>
    <n v="30"/>
    <n v="2023"/>
  </r>
  <r>
    <n v="618"/>
    <d v="2023-01-26T00:00:00"/>
    <x v="2"/>
    <s v="CUST618"/>
    <s v="Female"/>
    <n v="27"/>
    <x v="0"/>
    <n v="1"/>
    <n v="50"/>
    <n v="50"/>
    <n v="50"/>
    <n v="2023"/>
  </r>
  <r>
    <n v="619"/>
    <d v="2023-10-13T00:00:00"/>
    <x v="7"/>
    <s v="CUST619"/>
    <s v="Male"/>
    <n v="47"/>
    <x v="2"/>
    <n v="4"/>
    <n v="25"/>
    <n v="100"/>
    <n v="100"/>
    <n v="2023"/>
  </r>
  <r>
    <n v="620"/>
    <d v="2023-05-08T00:00:00"/>
    <x v="3"/>
    <s v="CUST620"/>
    <s v="Male"/>
    <n v="63"/>
    <x v="2"/>
    <n v="3"/>
    <n v="25"/>
    <n v="75"/>
    <n v="75"/>
    <n v="2023"/>
  </r>
  <r>
    <n v="621"/>
    <d v="2023-03-04T00:00:00"/>
    <x v="5"/>
    <s v="CUST621"/>
    <s v="Female"/>
    <n v="40"/>
    <x v="0"/>
    <n v="2"/>
    <n v="500"/>
    <n v="1000"/>
    <n v="1000"/>
    <n v="2023"/>
  </r>
  <r>
    <n v="622"/>
    <d v="2023-08-22T00:00:00"/>
    <x v="8"/>
    <s v="CUST622"/>
    <s v="Female"/>
    <n v="49"/>
    <x v="0"/>
    <n v="3"/>
    <n v="25"/>
    <n v="75"/>
    <n v="75"/>
    <n v="2023"/>
  </r>
  <r>
    <n v="623"/>
    <d v="2023-03-10T00:00:00"/>
    <x v="5"/>
    <s v="CUST623"/>
    <s v="Male"/>
    <n v="34"/>
    <x v="1"/>
    <n v="3"/>
    <n v="50"/>
    <n v="150"/>
    <n v="150"/>
    <n v="2023"/>
  </r>
  <r>
    <n v="624"/>
    <d v="2023-08-26T00:00:00"/>
    <x v="8"/>
    <s v="CUST624"/>
    <s v="Female"/>
    <n v="34"/>
    <x v="0"/>
    <n v="3"/>
    <n v="300"/>
    <n v="900"/>
    <n v="900"/>
    <n v="2023"/>
  </r>
  <r>
    <n v="625"/>
    <d v="2023-12-08T00:00:00"/>
    <x v="6"/>
    <s v="CUST625"/>
    <s v="Male"/>
    <n v="31"/>
    <x v="1"/>
    <n v="1"/>
    <n v="300"/>
    <n v="300"/>
    <n v="300"/>
    <n v="2023"/>
  </r>
  <r>
    <n v="626"/>
    <d v="2023-09-29T00:00:00"/>
    <x v="9"/>
    <s v="CUST626"/>
    <s v="Female"/>
    <n v="26"/>
    <x v="1"/>
    <n v="4"/>
    <n v="500"/>
    <n v="2000"/>
    <n v="2000"/>
    <n v="2023"/>
  </r>
  <r>
    <n v="627"/>
    <d v="2023-10-14T00:00:00"/>
    <x v="7"/>
    <s v="CUST627"/>
    <s v="Male"/>
    <n v="57"/>
    <x v="1"/>
    <n v="1"/>
    <n v="50"/>
    <n v="50"/>
    <n v="50"/>
    <n v="2023"/>
  </r>
  <r>
    <n v="628"/>
    <d v="2023-11-01T00:00:00"/>
    <x v="0"/>
    <s v="CUST628"/>
    <s v="Female"/>
    <n v="19"/>
    <x v="0"/>
    <n v="4"/>
    <n v="50"/>
    <n v="200"/>
    <n v="200"/>
    <n v="2023"/>
  </r>
  <r>
    <n v="629"/>
    <d v="2023-06-12T00:00:00"/>
    <x v="10"/>
    <s v="CUST629"/>
    <s v="Male"/>
    <n v="62"/>
    <x v="2"/>
    <n v="2"/>
    <n v="25"/>
    <n v="50"/>
    <n v="50"/>
    <n v="2023"/>
  </r>
  <r>
    <n v="630"/>
    <d v="2023-08-15T00:00:00"/>
    <x v="8"/>
    <s v="CUST630"/>
    <s v="Male"/>
    <n v="42"/>
    <x v="1"/>
    <n v="2"/>
    <n v="50"/>
    <n v="100"/>
    <n v="100"/>
    <n v="2023"/>
  </r>
  <r>
    <n v="631"/>
    <d v="2023-11-10T00:00:00"/>
    <x v="0"/>
    <s v="CUST631"/>
    <s v="Male"/>
    <n v="56"/>
    <x v="2"/>
    <n v="3"/>
    <n v="30"/>
    <n v="90"/>
    <n v="90"/>
    <n v="2023"/>
  </r>
  <r>
    <n v="632"/>
    <d v="2023-09-16T00:00:00"/>
    <x v="9"/>
    <s v="CUST632"/>
    <s v="Female"/>
    <n v="26"/>
    <x v="2"/>
    <n v="4"/>
    <n v="25"/>
    <n v="100"/>
    <n v="100"/>
    <n v="2023"/>
  </r>
  <r>
    <n v="633"/>
    <d v="2023-08-07T00:00:00"/>
    <x v="8"/>
    <s v="CUST633"/>
    <s v="Male"/>
    <n v="39"/>
    <x v="0"/>
    <n v="4"/>
    <n v="30"/>
    <n v="120"/>
    <n v="120"/>
    <n v="2023"/>
  </r>
  <r>
    <n v="634"/>
    <d v="2023-10-08T00:00:00"/>
    <x v="7"/>
    <s v="CUST634"/>
    <s v="Male"/>
    <n v="60"/>
    <x v="2"/>
    <n v="4"/>
    <n v="500"/>
    <n v="2000"/>
    <n v="2000"/>
    <n v="2023"/>
  </r>
  <r>
    <n v="635"/>
    <d v="2023-08-17T00:00:00"/>
    <x v="8"/>
    <s v="CUST635"/>
    <s v="Female"/>
    <n v="63"/>
    <x v="2"/>
    <n v="3"/>
    <n v="300"/>
    <n v="900"/>
    <n v="900"/>
    <n v="2023"/>
  </r>
  <r>
    <n v="636"/>
    <d v="2023-03-23T00:00:00"/>
    <x v="5"/>
    <s v="CUST636"/>
    <s v="Female"/>
    <n v="21"/>
    <x v="0"/>
    <n v="3"/>
    <n v="500"/>
    <n v="1500"/>
    <n v="1500"/>
    <n v="2023"/>
  </r>
  <r>
    <n v="637"/>
    <d v="2023-09-01T00:00:00"/>
    <x v="9"/>
    <s v="CUST637"/>
    <s v="Male"/>
    <n v="43"/>
    <x v="1"/>
    <n v="2"/>
    <n v="300"/>
    <n v="600"/>
    <n v="600"/>
    <n v="2023"/>
  </r>
  <r>
    <n v="638"/>
    <d v="2023-08-19T00:00:00"/>
    <x v="8"/>
    <s v="CUST638"/>
    <s v="Male"/>
    <n v="46"/>
    <x v="2"/>
    <n v="1"/>
    <n v="500"/>
    <n v="500"/>
    <n v="500"/>
    <n v="2023"/>
  </r>
  <r>
    <n v="639"/>
    <d v="2023-05-13T00:00:00"/>
    <x v="3"/>
    <s v="CUST639"/>
    <s v="Female"/>
    <n v="62"/>
    <x v="0"/>
    <n v="4"/>
    <n v="50"/>
    <n v="200"/>
    <n v="200"/>
    <n v="2023"/>
  </r>
  <r>
    <n v="640"/>
    <d v="2023-05-07T00:00:00"/>
    <x v="3"/>
    <s v="CUST640"/>
    <s v="Female"/>
    <n v="51"/>
    <x v="2"/>
    <n v="4"/>
    <n v="30"/>
    <n v="120"/>
    <n v="120"/>
    <n v="2023"/>
  </r>
  <r>
    <n v="641"/>
    <d v="2023-11-23T00:00:00"/>
    <x v="0"/>
    <s v="CUST641"/>
    <s v="Female"/>
    <n v="40"/>
    <x v="2"/>
    <n v="1"/>
    <n v="300"/>
    <n v="300"/>
    <n v="300"/>
    <n v="2023"/>
  </r>
  <r>
    <n v="642"/>
    <d v="2023-05-22T00:00:00"/>
    <x v="3"/>
    <s v="CUST642"/>
    <s v="Female"/>
    <n v="54"/>
    <x v="1"/>
    <n v="4"/>
    <n v="25"/>
    <n v="100"/>
    <n v="100"/>
    <n v="2023"/>
  </r>
  <r>
    <n v="643"/>
    <d v="2023-09-24T00:00:00"/>
    <x v="9"/>
    <s v="CUST643"/>
    <s v="Female"/>
    <n v="28"/>
    <x v="2"/>
    <n v="3"/>
    <n v="30"/>
    <n v="90"/>
    <n v="90"/>
    <n v="2023"/>
  </r>
  <r>
    <n v="644"/>
    <d v="2023-09-06T00:00:00"/>
    <x v="9"/>
    <s v="CUST644"/>
    <s v="Male"/>
    <n v="23"/>
    <x v="0"/>
    <n v="3"/>
    <n v="25"/>
    <n v="75"/>
    <n v="75"/>
    <n v="2023"/>
  </r>
  <r>
    <n v="645"/>
    <d v="2023-11-17T00:00:00"/>
    <x v="0"/>
    <s v="CUST645"/>
    <s v="Female"/>
    <n v="35"/>
    <x v="2"/>
    <n v="4"/>
    <n v="30"/>
    <n v="120"/>
    <n v="120"/>
    <n v="2023"/>
  </r>
  <r>
    <n v="646"/>
    <d v="2023-05-03T00:00:00"/>
    <x v="3"/>
    <s v="CUST646"/>
    <s v="Male"/>
    <n v="38"/>
    <x v="1"/>
    <n v="3"/>
    <n v="30"/>
    <n v="90"/>
    <n v="90"/>
    <n v="2023"/>
  </r>
  <r>
    <n v="647"/>
    <d v="2023-05-21T00:00:00"/>
    <x v="3"/>
    <s v="CUST647"/>
    <s v="Male"/>
    <n v="59"/>
    <x v="1"/>
    <n v="3"/>
    <n v="500"/>
    <n v="1500"/>
    <n v="1500"/>
    <n v="2023"/>
  </r>
  <r>
    <n v="648"/>
    <d v="2023-08-14T00:00:00"/>
    <x v="8"/>
    <s v="CUST648"/>
    <s v="Male"/>
    <n v="53"/>
    <x v="0"/>
    <n v="4"/>
    <n v="300"/>
    <n v="1200"/>
    <n v="1200"/>
    <n v="2023"/>
  </r>
  <r>
    <n v="649"/>
    <d v="2023-02-09T00:00:00"/>
    <x v="1"/>
    <s v="CUST649"/>
    <s v="Female"/>
    <n v="58"/>
    <x v="1"/>
    <n v="2"/>
    <n v="300"/>
    <n v="600"/>
    <n v="600"/>
    <n v="2023"/>
  </r>
  <r>
    <n v="650"/>
    <d v="2024-01-01T00:00:00"/>
    <x v="2"/>
    <s v="CUST650"/>
    <s v="Male"/>
    <n v="55"/>
    <x v="2"/>
    <n v="1"/>
    <n v="30"/>
    <n v="30"/>
    <n v="30"/>
    <n v="2024"/>
  </r>
  <r>
    <n v="651"/>
    <d v="2023-05-27T00:00:00"/>
    <x v="3"/>
    <s v="CUST651"/>
    <s v="Male"/>
    <n v="51"/>
    <x v="1"/>
    <n v="3"/>
    <n v="50"/>
    <n v="150"/>
    <n v="150"/>
    <n v="2023"/>
  </r>
  <r>
    <n v="652"/>
    <d v="2023-05-01T00:00:00"/>
    <x v="3"/>
    <s v="CUST652"/>
    <s v="Female"/>
    <n v="34"/>
    <x v="0"/>
    <n v="2"/>
    <n v="50"/>
    <n v="100"/>
    <n v="100"/>
    <n v="2023"/>
  </r>
  <r>
    <n v="653"/>
    <d v="2023-05-20T00:00:00"/>
    <x v="3"/>
    <s v="CUST653"/>
    <s v="Male"/>
    <n v="54"/>
    <x v="1"/>
    <n v="3"/>
    <n v="25"/>
    <n v="75"/>
    <n v="75"/>
    <n v="2023"/>
  </r>
  <r>
    <n v="654"/>
    <d v="2023-06-21T00:00:00"/>
    <x v="10"/>
    <s v="CUST654"/>
    <s v="Male"/>
    <n v="42"/>
    <x v="1"/>
    <n v="3"/>
    <n v="25"/>
    <n v="75"/>
    <n v="75"/>
    <n v="2023"/>
  </r>
  <r>
    <n v="655"/>
    <d v="2023-06-13T00:00:00"/>
    <x v="10"/>
    <s v="CUST655"/>
    <s v="Female"/>
    <n v="55"/>
    <x v="1"/>
    <n v="1"/>
    <n v="500"/>
    <n v="500"/>
    <n v="500"/>
    <n v="2023"/>
  </r>
  <r>
    <n v="656"/>
    <d v="2023-10-04T00:00:00"/>
    <x v="7"/>
    <s v="CUST656"/>
    <s v="Male"/>
    <n v="29"/>
    <x v="0"/>
    <n v="3"/>
    <n v="30"/>
    <n v="90"/>
    <n v="90"/>
    <n v="2023"/>
  </r>
  <r>
    <n v="657"/>
    <d v="2023-02-11T00:00:00"/>
    <x v="1"/>
    <s v="CUST657"/>
    <s v="Male"/>
    <n v="40"/>
    <x v="1"/>
    <n v="1"/>
    <n v="25"/>
    <n v="25"/>
    <n v="25"/>
    <n v="2023"/>
  </r>
  <r>
    <n v="658"/>
    <d v="2023-03-12T00:00:00"/>
    <x v="5"/>
    <s v="CUST658"/>
    <s v="Male"/>
    <n v="59"/>
    <x v="1"/>
    <n v="1"/>
    <n v="25"/>
    <n v="25"/>
    <n v="25"/>
    <n v="2023"/>
  </r>
  <r>
    <n v="659"/>
    <d v="2023-03-19T00:00:00"/>
    <x v="5"/>
    <s v="CUST659"/>
    <s v="Female"/>
    <n v="39"/>
    <x v="2"/>
    <n v="1"/>
    <n v="30"/>
    <n v="30"/>
    <n v="30"/>
    <n v="2023"/>
  </r>
  <r>
    <n v="660"/>
    <d v="2023-04-29T00:00:00"/>
    <x v="4"/>
    <s v="CUST660"/>
    <s v="Female"/>
    <n v="38"/>
    <x v="0"/>
    <n v="2"/>
    <n v="500"/>
    <n v="1000"/>
    <n v="1000"/>
    <n v="2023"/>
  </r>
  <r>
    <n v="661"/>
    <d v="2023-07-16T00:00:00"/>
    <x v="11"/>
    <s v="CUST661"/>
    <s v="Female"/>
    <n v="44"/>
    <x v="1"/>
    <n v="4"/>
    <n v="25"/>
    <n v="100"/>
    <n v="100"/>
    <n v="2023"/>
  </r>
  <r>
    <n v="662"/>
    <d v="2023-12-22T00:00:00"/>
    <x v="6"/>
    <s v="CUST662"/>
    <s v="Male"/>
    <n v="48"/>
    <x v="0"/>
    <n v="2"/>
    <n v="500"/>
    <n v="1000"/>
    <n v="1000"/>
    <n v="2023"/>
  </r>
  <r>
    <n v="663"/>
    <d v="2023-03-20T00:00:00"/>
    <x v="5"/>
    <s v="CUST663"/>
    <s v="Male"/>
    <n v="23"/>
    <x v="1"/>
    <n v="4"/>
    <n v="300"/>
    <n v="1200"/>
    <n v="1200"/>
    <n v="2023"/>
  </r>
  <r>
    <n v="664"/>
    <d v="2023-12-28T00:00:00"/>
    <x v="6"/>
    <s v="CUST664"/>
    <s v="Female"/>
    <n v="44"/>
    <x v="1"/>
    <n v="4"/>
    <n v="500"/>
    <n v="2000"/>
    <n v="2000"/>
    <n v="2023"/>
  </r>
  <r>
    <n v="665"/>
    <d v="2023-04-20T00:00:00"/>
    <x v="4"/>
    <s v="CUST665"/>
    <s v="Male"/>
    <n v="57"/>
    <x v="1"/>
    <n v="1"/>
    <n v="50"/>
    <n v="50"/>
    <n v="50"/>
    <n v="2023"/>
  </r>
  <r>
    <n v="666"/>
    <d v="2023-02-02T00:00:00"/>
    <x v="1"/>
    <s v="CUST666"/>
    <s v="Male"/>
    <n v="51"/>
    <x v="2"/>
    <n v="3"/>
    <n v="50"/>
    <n v="150"/>
    <n v="150"/>
    <n v="2023"/>
  </r>
  <r>
    <n v="667"/>
    <d v="2023-08-01T00:00:00"/>
    <x v="8"/>
    <s v="CUST667"/>
    <s v="Female"/>
    <n v="29"/>
    <x v="2"/>
    <n v="1"/>
    <n v="500"/>
    <n v="500"/>
    <n v="500"/>
    <n v="2023"/>
  </r>
  <r>
    <n v="668"/>
    <d v="2023-07-28T00:00:00"/>
    <x v="11"/>
    <s v="CUST668"/>
    <s v="Female"/>
    <n v="62"/>
    <x v="2"/>
    <n v="3"/>
    <n v="50"/>
    <n v="150"/>
    <n v="150"/>
    <n v="2023"/>
  </r>
  <r>
    <n v="669"/>
    <d v="2023-06-19T00:00:00"/>
    <x v="10"/>
    <s v="CUST669"/>
    <s v="Male"/>
    <n v="24"/>
    <x v="0"/>
    <n v="4"/>
    <n v="300"/>
    <n v="1200"/>
    <n v="1200"/>
    <n v="2023"/>
  </r>
  <r>
    <n v="670"/>
    <d v="2023-10-05T00:00:00"/>
    <x v="7"/>
    <s v="CUST670"/>
    <s v="Male"/>
    <n v="27"/>
    <x v="0"/>
    <n v="1"/>
    <n v="30"/>
    <n v="30"/>
    <n v="30"/>
    <n v="2023"/>
  </r>
  <r>
    <n v="671"/>
    <d v="2023-08-27T00:00:00"/>
    <x v="8"/>
    <s v="CUST671"/>
    <s v="Male"/>
    <n v="62"/>
    <x v="2"/>
    <n v="3"/>
    <n v="50"/>
    <n v="150"/>
    <n v="150"/>
    <n v="2023"/>
  </r>
  <r>
    <n v="672"/>
    <d v="2023-08-01T00:00:00"/>
    <x v="8"/>
    <s v="CUST672"/>
    <s v="Female"/>
    <n v="34"/>
    <x v="0"/>
    <n v="2"/>
    <n v="50"/>
    <n v="100"/>
    <n v="100"/>
    <n v="2023"/>
  </r>
  <r>
    <n v="673"/>
    <d v="2023-02-01T00:00:00"/>
    <x v="1"/>
    <s v="CUST673"/>
    <s v="Female"/>
    <n v="43"/>
    <x v="1"/>
    <n v="3"/>
    <n v="500"/>
    <n v="1500"/>
    <n v="1500"/>
    <n v="2023"/>
  </r>
  <r>
    <n v="674"/>
    <d v="2023-04-16T00:00:00"/>
    <x v="4"/>
    <s v="CUST674"/>
    <s v="Female"/>
    <n v="38"/>
    <x v="1"/>
    <n v="1"/>
    <n v="300"/>
    <n v="300"/>
    <n v="300"/>
    <n v="2023"/>
  </r>
  <r>
    <n v="675"/>
    <d v="2023-08-04T00:00:00"/>
    <x v="8"/>
    <s v="CUST675"/>
    <s v="Female"/>
    <n v="45"/>
    <x v="1"/>
    <n v="2"/>
    <n v="30"/>
    <n v="60"/>
    <n v="60"/>
    <n v="2023"/>
  </r>
  <r>
    <n v="676"/>
    <d v="2023-07-19T00:00:00"/>
    <x v="11"/>
    <s v="CUST676"/>
    <s v="Male"/>
    <n v="63"/>
    <x v="2"/>
    <n v="3"/>
    <n v="500"/>
    <n v="1500"/>
    <n v="1500"/>
    <n v="2023"/>
  </r>
  <r>
    <n v="677"/>
    <d v="2023-10-27T00:00:00"/>
    <x v="7"/>
    <s v="CUST677"/>
    <s v="Female"/>
    <n v="19"/>
    <x v="0"/>
    <n v="3"/>
    <n v="500"/>
    <n v="1500"/>
    <n v="1500"/>
    <n v="2023"/>
  </r>
  <r>
    <n v="678"/>
    <d v="2023-12-23T00:00:00"/>
    <x v="6"/>
    <s v="CUST678"/>
    <s v="Female"/>
    <n v="60"/>
    <x v="2"/>
    <n v="3"/>
    <n v="300"/>
    <n v="900"/>
    <n v="900"/>
    <n v="2023"/>
  </r>
  <r>
    <n v="679"/>
    <d v="2023-01-11T00:00:00"/>
    <x v="2"/>
    <s v="CUST679"/>
    <s v="Female"/>
    <n v="18"/>
    <x v="0"/>
    <n v="3"/>
    <n v="30"/>
    <n v="90"/>
    <n v="90"/>
    <n v="2023"/>
  </r>
  <r>
    <n v="680"/>
    <d v="2023-10-22T00:00:00"/>
    <x v="7"/>
    <s v="CUST680"/>
    <s v="Female"/>
    <n v="53"/>
    <x v="1"/>
    <n v="3"/>
    <n v="300"/>
    <n v="900"/>
    <n v="900"/>
    <n v="2023"/>
  </r>
  <r>
    <n v="681"/>
    <d v="2023-07-14T00:00:00"/>
    <x v="11"/>
    <s v="CUST681"/>
    <s v="Female"/>
    <n v="43"/>
    <x v="2"/>
    <n v="2"/>
    <n v="30"/>
    <n v="60"/>
    <n v="60"/>
    <n v="2023"/>
  </r>
  <r>
    <n v="682"/>
    <d v="2023-09-02T00:00:00"/>
    <x v="9"/>
    <s v="CUST682"/>
    <s v="Male"/>
    <n v="46"/>
    <x v="0"/>
    <n v="4"/>
    <n v="300"/>
    <n v="1200"/>
    <n v="1200"/>
    <n v="2023"/>
  </r>
  <r>
    <n v="683"/>
    <d v="2023-01-04T00:00:00"/>
    <x v="2"/>
    <s v="CUST683"/>
    <s v="Male"/>
    <n v="38"/>
    <x v="0"/>
    <n v="2"/>
    <n v="500"/>
    <n v="1000"/>
    <n v="1000"/>
    <n v="2023"/>
  </r>
  <r>
    <n v="684"/>
    <d v="2023-06-30T00:00:00"/>
    <x v="10"/>
    <s v="CUST684"/>
    <s v="Female"/>
    <n v="28"/>
    <x v="1"/>
    <n v="2"/>
    <n v="500"/>
    <n v="1000"/>
    <n v="1000"/>
    <n v="2023"/>
  </r>
  <r>
    <n v="685"/>
    <d v="2023-06-02T00:00:00"/>
    <x v="10"/>
    <s v="CUST685"/>
    <s v="Male"/>
    <n v="57"/>
    <x v="2"/>
    <n v="2"/>
    <n v="25"/>
    <n v="50"/>
    <n v="50"/>
    <n v="2023"/>
  </r>
  <r>
    <n v="686"/>
    <d v="2023-07-19T00:00:00"/>
    <x v="11"/>
    <s v="CUST686"/>
    <s v="Female"/>
    <n v="28"/>
    <x v="2"/>
    <n v="4"/>
    <n v="50"/>
    <n v="200"/>
    <n v="200"/>
    <n v="2023"/>
  </r>
  <r>
    <n v="687"/>
    <d v="2023-08-03T00:00:00"/>
    <x v="8"/>
    <s v="CUST687"/>
    <s v="Female"/>
    <n v="53"/>
    <x v="2"/>
    <n v="1"/>
    <n v="300"/>
    <n v="300"/>
    <n v="300"/>
    <n v="2023"/>
  </r>
  <r>
    <n v="688"/>
    <d v="2023-10-03T00:00:00"/>
    <x v="7"/>
    <s v="CUST688"/>
    <s v="Male"/>
    <n v="56"/>
    <x v="1"/>
    <n v="4"/>
    <n v="25"/>
    <n v="100"/>
    <n v="100"/>
    <n v="2023"/>
  </r>
  <r>
    <n v="689"/>
    <d v="2023-10-07T00:00:00"/>
    <x v="7"/>
    <s v="CUST689"/>
    <s v="Male"/>
    <n v="57"/>
    <x v="2"/>
    <n v="2"/>
    <n v="50"/>
    <n v="100"/>
    <n v="100"/>
    <n v="2023"/>
  </r>
  <r>
    <n v="690"/>
    <d v="2023-11-05T00:00:00"/>
    <x v="0"/>
    <s v="CUST690"/>
    <s v="Female"/>
    <n v="52"/>
    <x v="1"/>
    <n v="3"/>
    <n v="300"/>
    <n v="900"/>
    <n v="900"/>
    <n v="2023"/>
  </r>
  <r>
    <n v="691"/>
    <d v="2023-04-23T00:00:00"/>
    <x v="4"/>
    <s v="CUST691"/>
    <s v="Female"/>
    <n v="51"/>
    <x v="1"/>
    <n v="3"/>
    <n v="30"/>
    <n v="90"/>
    <n v="90"/>
    <n v="2023"/>
  </r>
  <r>
    <n v="692"/>
    <d v="2023-09-07T00:00:00"/>
    <x v="9"/>
    <s v="CUST692"/>
    <s v="Female"/>
    <n v="64"/>
    <x v="1"/>
    <n v="2"/>
    <n v="50"/>
    <n v="100"/>
    <n v="100"/>
    <n v="2023"/>
  </r>
  <r>
    <n v="693"/>
    <d v="2023-04-23T00:00:00"/>
    <x v="4"/>
    <s v="CUST693"/>
    <s v="Male"/>
    <n v="41"/>
    <x v="0"/>
    <n v="3"/>
    <n v="500"/>
    <n v="1500"/>
    <n v="1500"/>
    <n v="2023"/>
  </r>
  <r>
    <n v="694"/>
    <d v="2023-05-20T00:00:00"/>
    <x v="3"/>
    <s v="CUST694"/>
    <s v="Female"/>
    <n v="39"/>
    <x v="2"/>
    <n v="2"/>
    <n v="25"/>
    <n v="50"/>
    <n v="50"/>
    <n v="2023"/>
  </r>
  <r>
    <n v="695"/>
    <d v="2023-08-12T00:00:00"/>
    <x v="8"/>
    <s v="CUST695"/>
    <s v="Female"/>
    <n v="22"/>
    <x v="2"/>
    <n v="3"/>
    <n v="50"/>
    <n v="150"/>
    <n v="150"/>
    <n v="2023"/>
  </r>
  <r>
    <n v="696"/>
    <d v="2023-09-06T00:00:00"/>
    <x v="9"/>
    <s v="CUST696"/>
    <s v="Female"/>
    <n v="50"/>
    <x v="1"/>
    <n v="4"/>
    <n v="50"/>
    <n v="200"/>
    <n v="200"/>
    <n v="2023"/>
  </r>
  <r>
    <n v="697"/>
    <d v="2023-01-15T00:00:00"/>
    <x v="2"/>
    <s v="CUST697"/>
    <s v="Male"/>
    <n v="53"/>
    <x v="1"/>
    <n v="1"/>
    <n v="500"/>
    <n v="500"/>
    <n v="500"/>
    <n v="2023"/>
  </r>
  <r>
    <n v="698"/>
    <d v="2023-07-19T00:00:00"/>
    <x v="11"/>
    <s v="CUST698"/>
    <s v="Female"/>
    <n v="64"/>
    <x v="2"/>
    <n v="1"/>
    <n v="300"/>
    <n v="300"/>
    <n v="300"/>
    <n v="2023"/>
  </r>
  <r>
    <n v="699"/>
    <d v="2023-06-22T00:00:00"/>
    <x v="10"/>
    <s v="CUST699"/>
    <s v="Female"/>
    <n v="37"/>
    <x v="1"/>
    <n v="4"/>
    <n v="30"/>
    <n v="120"/>
    <n v="120"/>
    <n v="2023"/>
  </r>
  <r>
    <n v="700"/>
    <d v="2023-12-09T00:00:00"/>
    <x v="6"/>
    <s v="CUST700"/>
    <s v="Male"/>
    <n v="36"/>
    <x v="2"/>
    <n v="4"/>
    <n v="500"/>
    <n v="2000"/>
    <n v="2000"/>
    <n v="2023"/>
  </r>
  <r>
    <n v="701"/>
    <d v="2023-12-14T00:00:00"/>
    <x v="6"/>
    <s v="CUST701"/>
    <s v="Female"/>
    <n v="52"/>
    <x v="0"/>
    <n v="2"/>
    <n v="30"/>
    <n v="60"/>
    <n v="60"/>
    <n v="2023"/>
  </r>
  <r>
    <n v="702"/>
    <d v="2023-07-27T00:00:00"/>
    <x v="11"/>
    <s v="CUST702"/>
    <s v="Female"/>
    <n v="60"/>
    <x v="1"/>
    <n v="2"/>
    <n v="300"/>
    <n v="600"/>
    <n v="600"/>
    <n v="2023"/>
  </r>
  <r>
    <n v="703"/>
    <d v="2023-03-26T00:00:00"/>
    <x v="5"/>
    <s v="CUST703"/>
    <s v="Male"/>
    <n v="34"/>
    <x v="2"/>
    <n v="2"/>
    <n v="50"/>
    <n v="100"/>
    <n v="100"/>
    <n v="2023"/>
  </r>
  <r>
    <n v="704"/>
    <d v="2023-08-28T00:00:00"/>
    <x v="8"/>
    <s v="CUST704"/>
    <s v="Female"/>
    <n v="62"/>
    <x v="1"/>
    <n v="3"/>
    <n v="30"/>
    <n v="90"/>
    <n v="90"/>
    <n v="2023"/>
  </r>
  <r>
    <n v="705"/>
    <d v="2023-03-07T00:00:00"/>
    <x v="5"/>
    <s v="CUST705"/>
    <s v="Male"/>
    <n v="60"/>
    <x v="2"/>
    <n v="2"/>
    <n v="25"/>
    <n v="50"/>
    <n v="50"/>
    <n v="2023"/>
  </r>
  <r>
    <n v="706"/>
    <d v="2023-11-15T00:00:00"/>
    <x v="0"/>
    <s v="CUST706"/>
    <s v="Male"/>
    <n v="51"/>
    <x v="2"/>
    <n v="4"/>
    <n v="25"/>
    <n v="100"/>
    <n v="100"/>
    <n v="2023"/>
  </r>
  <r>
    <n v="707"/>
    <d v="2023-10-01T00:00:00"/>
    <x v="7"/>
    <s v="CUST707"/>
    <s v="Female"/>
    <n v="26"/>
    <x v="1"/>
    <n v="1"/>
    <n v="500"/>
    <n v="500"/>
    <n v="500"/>
    <n v="2023"/>
  </r>
  <r>
    <n v="708"/>
    <d v="2023-01-14T00:00:00"/>
    <x v="2"/>
    <s v="CUST708"/>
    <s v="Female"/>
    <n v="43"/>
    <x v="0"/>
    <n v="3"/>
    <n v="300"/>
    <n v="900"/>
    <n v="900"/>
    <n v="2023"/>
  </r>
  <r>
    <n v="709"/>
    <d v="2023-07-21T00:00:00"/>
    <x v="11"/>
    <s v="CUST709"/>
    <s v="Female"/>
    <n v="19"/>
    <x v="2"/>
    <n v="2"/>
    <n v="500"/>
    <n v="1000"/>
    <n v="1000"/>
    <n v="2023"/>
  </r>
  <r>
    <n v="710"/>
    <d v="2023-10-31T00:00:00"/>
    <x v="7"/>
    <s v="CUST710"/>
    <s v="Female"/>
    <n v="26"/>
    <x v="2"/>
    <n v="3"/>
    <n v="500"/>
    <n v="1500"/>
    <n v="1500"/>
    <n v="2023"/>
  </r>
  <r>
    <n v="711"/>
    <d v="2023-10-16T00:00:00"/>
    <x v="7"/>
    <s v="CUST711"/>
    <s v="Male"/>
    <n v="26"/>
    <x v="2"/>
    <n v="3"/>
    <n v="500"/>
    <n v="1500"/>
    <n v="1500"/>
    <n v="2023"/>
  </r>
  <r>
    <n v="712"/>
    <d v="2023-12-06T00:00:00"/>
    <x v="6"/>
    <s v="CUST712"/>
    <s v="Female"/>
    <n v="57"/>
    <x v="0"/>
    <n v="2"/>
    <n v="25"/>
    <n v="50"/>
    <n v="50"/>
    <n v="2023"/>
  </r>
  <r>
    <n v="713"/>
    <d v="2023-01-14T00:00:00"/>
    <x v="2"/>
    <s v="CUST713"/>
    <s v="Male"/>
    <n v="34"/>
    <x v="0"/>
    <n v="3"/>
    <n v="25"/>
    <n v="75"/>
    <n v="75"/>
    <n v="2023"/>
  </r>
  <r>
    <n v="714"/>
    <d v="2023-02-12T00:00:00"/>
    <x v="1"/>
    <s v="CUST714"/>
    <s v="Female"/>
    <n v="18"/>
    <x v="1"/>
    <n v="1"/>
    <n v="500"/>
    <n v="500"/>
    <n v="500"/>
    <n v="2023"/>
  </r>
  <r>
    <n v="715"/>
    <d v="2023-11-26T00:00:00"/>
    <x v="0"/>
    <s v="CUST715"/>
    <s v="Female"/>
    <n v="42"/>
    <x v="0"/>
    <n v="4"/>
    <n v="25"/>
    <n v="100"/>
    <n v="100"/>
    <n v="2023"/>
  </r>
  <r>
    <n v="716"/>
    <d v="2023-08-08T00:00:00"/>
    <x v="8"/>
    <s v="CUST716"/>
    <s v="Female"/>
    <n v="60"/>
    <x v="1"/>
    <n v="4"/>
    <n v="300"/>
    <n v="1200"/>
    <n v="1200"/>
    <n v="2023"/>
  </r>
  <r>
    <n v="717"/>
    <d v="2023-03-11T00:00:00"/>
    <x v="5"/>
    <s v="CUST717"/>
    <s v="Male"/>
    <n v="57"/>
    <x v="1"/>
    <n v="1"/>
    <n v="500"/>
    <n v="500"/>
    <n v="500"/>
    <n v="2023"/>
  </r>
  <r>
    <n v="718"/>
    <d v="2023-08-25T00:00:00"/>
    <x v="8"/>
    <s v="CUST718"/>
    <s v="Female"/>
    <n v="59"/>
    <x v="0"/>
    <n v="3"/>
    <n v="25"/>
    <n v="75"/>
    <n v="75"/>
    <n v="2023"/>
  </r>
  <r>
    <n v="719"/>
    <d v="2023-04-04T00:00:00"/>
    <x v="4"/>
    <s v="CUST719"/>
    <s v="Female"/>
    <n v="42"/>
    <x v="1"/>
    <n v="2"/>
    <n v="30"/>
    <n v="60"/>
    <n v="60"/>
    <n v="2023"/>
  </r>
  <r>
    <n v="720"/>
    <d v="2023-01-26T00:00:00"/>
    <x v="2"/>
    <s v="CUST720"/>
    <s v="Female"/>
    <n v="56"/>
    <x v="0"/>
    <n v="3"/>
    <n v="500"/>
    <n v="1500"/>
    <n v="1500"/>
    <n v="2023"/>
  </r>
  <r>
    <n v="721"/>
    <d v="2023-05-14T00:00:00"/>
    <x v="3"/>
    <s v="CUST721"/>
    <s v="Female"/>
    <n v="52"/>
    <x v="1"/>
    <n v="1"/>
    <n v="500"/>
    <n v="500"/>
    <n v="500"/>
    <n v="2023"/>
  </r>
  <r>
    <n v="722"/>
    <d v="2023-07-14T00:00:00"/>
    <x v="11"/>
    <s v="CUST722"/>
    <s v="Male"/>
    <n v="20"/>
    <x v="0"/>
    <n v="3"/>
    <n v="300"/>
    <n v="900"/>
    <n v="900"/>
    <n v="2023"/>
  </r>
  <r>
    <n v="723"/>
    <d v="2023-06-17T00:00:00"/>
    <x v="10"/>
    <s v="CUST723"/>
    <s v="Female"/>
    <n v="54"/>
    <x v="0"/>
    <n v="4"/>
    <n v="50"/>
    <n v="200"/>
    <n v="200"/>
    <n v="2023"/>
  </r>
  <r>
    <n v="724"/>
    <d v="2023-04-19T00:00:00"/>
    <x v="4"/>
    <s v="CUST724"/>
    <s v="Male"/>
    <n v="61"/>
    <x v="1"/>
    <n v="3"/>
    <n v="50"/>
    <n v="150"/>
    <n v="150"/>
    <n v="2023"/>
  </r>
  <r>
    <n v="725"/>
    <d v="2023-08-21T00:00:00"/>
    <x v="8"/>
    <s v="CUST725"/>
    <s v="Male"/>
    <n v="61"/>
    <x v="2"/>
    <n v="1"/>
    <n v="300"/>
    <n v="300"/>
    <n v="300"/>
    <n v="2023"/>
  </r>
  <r>
    <n v="726"/>
    <d v="2023-06-17T00:00:00"/>
    <x v="10"/>
    <s v="CUST726"/>
    <s v="Male"/>
    <n v="47"/>
    <x v="1"/>
    <n v="4"/>
    <n v="300"/>
    <n v="1200"/>
    <n v="1200"/>
    <n v="2023"/>
  </r>
  <r>
    <n v="727"/>
    <d v="2023-06-22T00:00:00"/>
    <x v="10"/>
    <s v="CUST727"/>
    <s v="Male"/>
    <n v="55"/>
    <x v="0"/>
    <n v="3"/>
    <n v="300"/>
    <n v="900"/>
    <n v="900"/>
    <n v="2023"/>
  </r>
  <r>
    <n v="728"/>
    <d v="2023-07-14T00:00:00"/>
    <x v="11"/>
    <s v="CUST728"/>
    <s v="Male"/>
    <n v="51"/>
    <x v="2"/>
    <n v="3"/>
    <n v="50"/>
    <n v="150"/>
    <n v="150"/>
    <n v="2023"/>
  </r>
  <r>
    <n v="729"/>
    <d v="2023-05-23T00:00:00"/>
    <x v="3"/>
    <s v="CUST729"/>
    <s v="Male"/>
    <n v="29"/>
    <x v="1"/>
    <n v="4"/>
    <n v="300"/>
    <n v="1200"/>
    <n v="1200"/>
    <n v="2023"/>
  </r>
  <r>
    <n v="730"/>
    <d v="2023-08-04T00:00:00"/>
    <x v="8"/>
    <s v="CUST730"/>
    <s v="Female"/>
    <n v="36"/>
    <x v="1"/>
    <n v="2"/>
    <n v="25"/>
    <n v="50"/>
    <n v="50"/>
    <n v="2023"/>
  </r>
  <r>
    <n v="731"/>
    <d v="2023-05-10T00:00:00"/>
    <x v="3"/>
    <s v="CUST731"/>
    <s v="Male"/>
    <n v="54"/>
    <x v="1"/>
    <n v="4"/>
    <n v="500"/>
    <n v="2000"/>
    <n v="2000"/>
    <n v="2023"/>
  </r>
  <r>
    <n v="732"/>
    <d v="2023-02-11T00:00:00"/>
    <x v="1"/>
    <s v="CUST732"/>
    <s v="Male"/>
    <n v="61"/>
    <x v="2"/>
    <n v="2"/>
    <n v="500"/>
    <n v="1000"/>
    <n v="1000"/>
    <n v="2023"/>
  </r>
  <r>
    <n v="733"/>
    <d v="2023-08-29T00:00:00"/>
    <x v="8"/>
    <s v="CUST733"/>
    <s v="Male"/>
    <n v="34"/>
    <x v="0"/>
    <n v="1"/>
    <n v="30"/>
    <n v="30"/>
    <n v="30"/>
    <n v="2023"/>
  </r>
  <r>
    <n v="734"/>
    <d v="2023-01-10T00:00:00"/>
    <x v="2"/>
    <s v="CUST734"/>
    <s v="Female"/>
    <n v="27"/>
    <x v="1"/>
    <n v="1"/>
    <n v="30"/>
    <n v="30"/>
    <n v="30"/>
    <n v="2023"/>
  </r>
  <r>
    <n v="735"/>
    <d v="2023-10-04T00:00:00"/>
    <x v="7"/>
    <s v="CUST735"/>
    <s v="Female"/>
    <n v="64"/>
    <x v="1"/>
    <n v="4"/>
    <n v="500"/>
    <n v="2000"/>
    <n v="2000"/>
    <n v="2023"/>
  </r>
  <r>
    <n v="736"/>
    <d v="2023-01-27T00:00:00"/>
    <x v="2"/>
    <s v="CUST736"/>
    <s v="Male"/>
    <n v="29"/>
    <x v="1"/>
    <n v="4"/>
    <n v="25"/>
    <n v="100"/>
    <n v="100"/>
    <n v="2023"/>
  </r>
  <r>
    <n v="737"/>
    <d v="2023-06-29T00:00:00"/>
    <x v="10"/>
    <s v="CUST737"/>
    <s v="Female"/>
    <n v="33"/>
    <x v="1"/>
    <n v="1"/>
    <n v="50"/>
    <n v="50"/>
    <n v="50"/>
    <n v="2023"/>
  </r>
  <r>
    <n v="738"/>
    <d v="2023-04-25T00:00:00"/>
    <x v="4"/>
    <s v="CUST738"/>
    <s v="Male"/>
    <n v="41"/>
    <x v="1"/>
    <n v="2"/>
    <n v="50"/>
    <n v="100"/>
    <n v="100"/>
    <n v="2023"/>
  </r>
  <r>
    <n v="739"/>
    <d v="2023-11-29T00:00:00"/>
    <x v="0"/>
    <s v="CUST739"/>
    <s v="Male"/>
    <n v="36"/>
    <x v="0"/>
    <n v="1"/>
    <n v="25"/>
    <n v="25"/>
    <n v="25"/>
    <n v="2023"/>
  </r>
  <r>
    <n v="740"/>
    <d v="2023-02-05T00:00:00"/>
    <x v="1"/>
    <s v="CUST740"/>
    <s v="Female"/>
    <n v="25"/>
    <x v="0"/>
    <n v="4"/>
    <n v="50"/>
    <n v="200"/>
    <n v="200"/>
    <n v="2023"/>
  </r>
  <r>
    <n v="741"/>
    <d v="2023-11-30T00:00:00"/>
    <x v="0"/>
    <s v="CUST741"/>
    <s v="Male"/>
    <n v="48"/>
    <x v="1"/>
    <n v="1"/>
    <n v="300"/>
    <n v="300"/>
    <n v="300"/>
    <n v="2023"/>
  </r>
  <r>
    <n v="742"/>
    <d v="2023-01-21T00:00:00"/>
    <x v="2"/>
    <s v="CUST742"/>
    <s v="Female"/>
    <n v="38"/>
    <x v="2"/>
    <n v="4"/>
    <n v="500"/>
    <n v="2000"/>
    <n v="2000"/>
    <n v="2023"/>
  </r>
  <r>
    <n v="743"/>
    <d v="2023-01-16T00:00:00"/>
    <x v="2"/>
    <s v="CUST743"/>
    <s v="Female"/>
    <n v="34"/>
    <x v="0"/>
    <n v="4"/>
    <n v="500"/>
    <n v="2000"/>
    <n v="2000"/>
    <n v="2023"/>
  </r>
  <r>
    <n v="744"/>
    <d v="2023-05-07T00:00:00"/>
    <x v="3"/>
    <s v="CUST744"/>
    <s v="Male"/>
    <n v="40"/>
    <x v="2"/>
    <n v="1"/>
    <n v="25"/>
    <n v="25"/>
    <n v="25"/>
    <n v="2023"/>
  </r>
  <r>
    <n v="745"/>
    <d v="2023-04-13T00:00:00"/>
    <x v="4"/>
    <s v="CUST745"/>
    <s v="Male"/>
    <n v="54"/>
    <x v="0"/>
    <n v="2"/>
    <n v="50"/>
    <n v="100"/>
    <n v="100"/>
    <n v="2023"/>
  </r>
  <r>
    <n v="746"/>
    <d v="2023-01-11T00:00:00"/>
    <x v="2"/>
    <s v="CUST746"/>
    <s v="Female"/>
    <n v="33"/>
    <x v="1"/>
    <n v="3"/>
    <n v="30"/>
    <n v="90"/>
    <n v="90"/>
    <n v="2023"/>
  </r>
  <r>
    <n v="747"/>
    <d v="2023-11-15T00:00:00"/>
    <x v="0"/>
    <s v="CUST747"/>
    <s v="Male"/>
    <n v="23"/>
    <x v="0"/>
    <n v="1"/>
    <n v="30"/>
    <n v="30"/>
    <n v="30"/>
    <n v="2023"/>
  </r>
  <r>
    <n v="748"/>
    <d v="2023-03-20T00:00:00"/>
    <x v="5"/>
    <s v="CUST748"/>
    <s v="Male"/>
    <n v="25"/>
    <x v="1"/>
    <n v="3"/>
    <n v="50"/>
    <n v="150"/>
    <n v="150"/>
    <n v="2023"/>
  </r>
  <r>
    <n v="749"/>
    <d v="2023-05-03T00:00:00"/>
    <x v="3"/>
    <s v="CUST749"/>
    <s v="Male"/>
    <n v="42"/>
    <x v="0"/>
    <n v="1"/>
    <n v="30"/>
    <n v="30"/>
    <n v="30"/>
    <n v="2023"/>
  </r>
  <r>
    <n v="750"/>
    <d v="2023-03-06T00:00:00"/>
    <x v="5"/>
    <s v="CUST750"/>
    <s v="Female"/>
    <n v="35"/>
    <x v="1"/>
    <n v="3"/>
    <n v="25"/>
    <n v="75"/>
    <n v="75"/>
    <n v="2023"/>
  </r>
  <r>
    <n v="751"/>
    <d v="2023-08-31T00:00:00"/>
    <x v="8"/>
    <s v="CUST751"/>
    <s v="Female"/>
    <n v="42"/>
    <x v="1"/>
    <n v="2"/>
    <n v="25"/>
    <n v="50"/>
    <n v="50"/>
    <n v="2023"/>
  </r>
  <r>
    <n v="752"/>
    <d v="2023-12-09T00:00:00"/>
    <x v="6"/>
    <s v="CUST752"/>
    <s v="Male"/>
    <n v="29"/>
    <x v="1"/>
    <n v="2"/>
    <n v="50"/>
    <n v="100"/>
    <n v="100"/>
    <n v="2023"/>
  </r>
  <r>
    <n v="753"/>
    <d v="2023-02-28T00:00:00"/>
    <x v="1"/>
    <s v="CUST753"/>
    <s v="Female"/>
    <n v="32"/>
    <x v="1"/>
    <n v="1"/>
    <n v="30"/>
    <n v="30"/>
    <n v="30"/>
    <n v="2023"/>
  </r>
  <r>
    <n v="754"/>
    <d v="2023-10-16T00:00:00"/>
    <x v="7"/>
    <s v="CUST754"/>
    <s v="Female"/>
    <n v="43"/>
    <x v="2"/>
    <n v="4"/>
    <n v="25"/>
    <n v="100"/>
    <n v="100"/>
    <n v="2023"/>
  </r>
  <r>
    <n v="755"/>
    <d v="2023-04-22T00:00:00"/>
    <x v="4"/>
    <s v="CUST755"/>
    <s v="Female"/>
    <n v="58"/>
    <x v="1"/>
    <n v="3"/>
    <n v="25"/>
    <n v="75"/>
    <n v="75"/>
    <n v="2023"/>
  </r>
  <r>
    <n v="756"/>
    <d v="2023-08-27T00:00:00"/>
    <x v="8"/>
    <s v="CUST756"/>
    <s v="Female"/>
    <n v="62"/>
    <x v="2"/>
    <n v="4"/>
    <n v="300"/>
    <n v="1200"/>
    <n v="1200"/>
    <n v="2023"/>
  </r>
  <r>
    <n v="757"/>
    <d v="2023-12-25T00:00:00"/>
    <x v="6"/>
    <s v="CUST757"/>
    <s v="Female"/>
    <n v="43"/>
    <x v="2"/>
    <n v="4"/>
    <n v="300"/>
    <n v="1200"/>
    <n v="1200"/>
    <n v="2023"/>
  </r>
  <r>
    <n v="758"/>
    <d v="2023-05-12T00:00:00"/>
    <x v="3"/>
    <s v="CUST758"/>
    <s v="Male"/>
    <n v="64"/>
    <x v="1"/>
    <n v="4"/>
    <n v="25"/>
    <n v="100"/>
    <n v="100"/>
    <n v="2023"/>
  </r>
  <r>
    <n v="759"/>
    <d v="2023-07-08T00:00:00"/>
    <x v="11"/>
    <s v="CUST759"/>
    <s v="Male"/>
    <n v="49"/>
    <x v="2"/>
    <n v="2"/>
    <n v="50"/>
    <n v="100"/>
    <n v="100"/>
    <n v="2023"/>
  </r>
  <r>
    <n v="760"/>
    <d v="2023-03-27T00:00:00"/>
    <x v="5"/>
    <s v="CUST760"/>
    <s v="Male"/>
    <n v="27"/>
    <x v="0"/>
    <n v="1"/>
    <n v="500"/>
    <n v="500"/>
    <n v="500"/>
    <n v="2023"/>
  </r>
  <r>
    <n v="761"/>
    <d v="2023-11-07T00:00:00"/>
    <x v="0"/>
    <s v="CUST761"/>
    <s v="Female"/>
    <n v="33"/>
    <x v="1"/>
    <n v="1"/>
    <n v="500"/>
    <n v="500"/>
    <n v="500"/>
    <n v="2023"/>
  </r>
  <r>
    <n v="762"/>
    <d v="2023-11-07T00:00:00"/>
    <x v="0"/>
    <s v="CUST762"/>
    <s v="Female"/>
    <n v="24"/>
    <x v="2"/>
    <n v="2"/>
    <n v="25"/>
    <n v="50"/>
    <n v="50"/>
    <n v="2023"/>
  </r>
  <r>
    <n v="763"/>
    <d v="2023-02-28T00:00:00"/>
    <x v="1"/>
    <s v="CUST763"/>
    <s v="Male"/>
    <n v="34"/>
    <x v="1"/>
    <n v="2"/>
    <n v="25"/>
    <n v="50"/>
    <n v="50"/>
    <n v="2023"/>
  </r>
  <r>
    <n v="764"/>
    <d v="2023-03-25T00:00:00"/>
    <x v="5"/>
    <s v="CUST764"/>
    <s v="Female"/>
    <n v="40"/>
    <x v="1"/>
    <n v="1"/>
    <n v="25"/>
    <n v="25"/>
    <n v="25"/>
    <n v="2023"/>
  </r>
  <r>
    <n v="765"/>
    <d v="2023-06-09T00:00:00"/>
    <x v="10"/>
    <s v="CUST765"/>
    <s v="Male"/>
    <n v="43"/>
    <x v="1"/>
    <n v="4"/>
    <n v="50"/>
    <n v="200"/>
    <n v="200"/>
    <n v="2023"/>
  </r>
  <r>
    <n v="766"/>
    <d v="2023-02-25T00:00:00"/>
    <x v="1"/>
    <s v="CUST766"/>
    <s v="Male"/>
    <n v="38"/>
    <x v="2"/>
    <n v="3"/>
    <n v="300"/>
    <n v="900"/>
    <n v="900"/>
    <n v="2023"/>
  </r>
  <r>
    <n v="767"/>
    <d v="2023-10-24T00:00:00"/>
    <x v="7"/>
    <s v="CUST767"/>
    <s v="Male"/>
    <n v="39"/>
    <x v="0"/>
    <n v="3"/>
    <n v="25"/>
    <n v="75"/>
    <n v="75"/>
    <n v="2023"/>
  </r>
  <r>
    <n v="768"/>
    <d v="2023-01-14T00:00:00"/>
    <x v="2"/>
    <s v="CUST768"/>
    <s v="Female"/>
    <n v="24"/>
    <x v="0"/>
    <n v="3"/>
    <n v="25"/>
    <n v="75"/>
    <n v="75"/>
    <n v="2023"/>
  </r>
  <r>
    <n v="769"/>
    <d v="2023-06-09T00:00:00"/>
    <x v="10"/>
    <s v="CUST769"/>
    <s v="Female"/>
    <n v="31"/>
    <x v="2"/>
    <n v="4"/>
    <n v="30"/>
    <n v="120"/>
    <n v="120"/>
    <n v="2023"/>
  </r>
  <r>
    <n v="770"/>
    <d v="2023-10-22T00:00:00"/>
    <x v="7"/>
    <s v="CUST770"/>
    <s v="Male"/>
    <n v="32"/>
    <x v="1"/>
    <n v="1"/>
    <n v="50"/>
    <n v="50"/>
    <n v="50"/>
    <n v="2023"/>
  </r>
  <r>
    <n v="771"/>
    <d v="2023-12-13T00:00:00"/>
    <x v="6"/>
    <s v="CUST771"/>
    <s v="Male"/>
    <n v="24"/>
    <x v="2"/>
    <n v="2"/>
    <n v="25"/>
    <n v="50"/>
    <n v="50"/>
    <n v="2023"/>
  </r>
  <r>
    <n v="772"/>
    <d v="2023-07-12T00:00:00"/>
    <x v="11"/>
    <s v="CUST772"/>
    <s v="Male"/>
    <n v="26"/>
    <x v="2"/>
    <n v="1"/>
    <n v="30"/>
    <n v="30"/>
    <n v="30"/>
    <n v="2023"/>
  </r>
  <r>
    <n v="773"/>
    <d v="2023-07-23T00:00:00"/>
    <x v="11"/>
    <s v="CUST773"/>
    <s v="Male"/>
    <n v="25"/>
    <x v="2"/>
    <n v="4"/>
    <n v="500"/>
    <n v="2000"/>
    <n v="2000"/>
    <n v="2023"/>
  </r>
  <r>
    <n v="774"/>
    <d v="2023-04-12T00:00:00"/>
    <x v="4"/>
    <s v="CUST774"/>
    <s v="Female"/>
    <n v="40"/>
    <x v="1"/>
    <n v="2"/>
    <n v="25"/>
    <n v="50"/>
    <n v="50"/>
    <n v="2023"/>
  </r>
  <r>
    <n v="775"/>
    <d v="2023-02-08T00:00:00"/>
    <x v="1"/>
    <s v="CUST775"/>
    <s v="Female"/>
    <n v="46"/>
    <x v="2"/>
    <n v="4"/>
    <n v="25"/>
    <n v="100"/>
    <n v="100"/>
    <n v="2023"/>
  </r>
  <r>
    <n v="776"/>
    <d v="2023-10-31T00:00:00"/>
    <x v="7"/>
    <s v="CUST776"/>
    <s v="Male"/>
    <n v="35"/>
    <x v="1"/>
    <n v="3"/>
    <n v="30"/>
    <n v="90"/>
    <n v="90"/>
    <n v="2023"/>
  </r>
  <r>
    <n v="777"/>
    <d v="2023-12-20T00:00:00"/>
    <x v="6"/>
    <s v="CUST777"/>
    <s v="Male"/>
    <n v="48"/>
    <x v="2"/>
    <n v="3"/>
    <n v="50"/>
    <n v="150"/>
    <n v="150"/>
    <n v="2023"/>
  </r>
  <r>
    <n v="778"/>
    <d v="2023-11-18T00:00:00"/>
    <x v="0"/>
    <s v="CUST778"/>
    <s v="Female"/>
    <n v="47"/>
    <x v="0"/>
    <n v="4"/>
    <n v="25"/>
    <n v="100"/>
    <n v="100"/>
    <n v="2023"/>
  </r>
  <r>
    <n v="779"/>
    <d v="2023-05-05T00:00:00"/>
    <x v="3"/>
    <s v="CUST779"/>
    <s v="Female"/>
    <n v="56"/>
    <x v="2"/>
    <n v="2"/>
    <n v="500"/>
    <n v="1000"/>
    <n v="1000"/>
    <n v="2023"/>
  </r>
  <r>
    <n v="780"/>
    <d v="2023-02-22T00:00:00"/>
    <x v="1"/>
    <s v="CUST780"/>
    <s v="Male"/>
    <n v="52"/>
    <x v="2"/>
    <n v="2"/>
    <n v="25"/>
    <n v="50"/>
    <n v="50"/>
    <n v="2023"/>
  </r>
  <r>
    <n v="781"/>
    <d v="2023-12-23T00:00:00"/>
    <x v="6"/>
    <s v="CUST781"/>
    <s v="Male"/>
    <n v="35"/>
    <x v="0"/>
    <n v="1"/>
    <n v="500"/>
    <n v="500"/>
    <n v="500"/>
    <n v="2023"/>
  </r>
  <r>
    <n v="782"/>
    <d v="2023-06-04T00:00:00"/>
    <x v="10"/>
    <s v="CUST782"/>
    <s v="Male"/>
    <n v="59"/>
    <x v="1"/>
    <n v="3"/>
    <n v="300"/>
    <n v="900"/>
    <n v="900"/>
    <n v="2023"/>
  </r>
  <r>
    <n v="783"/>
    <d v="2023-12-17T00:00:00"/>
    <x v="6"/>
    <s v="CUST783"/>
    <s v="Female"/>
    <n v="56"/>
    <x v="1"/>
    <n v="1"/>
    <n v="300"/>
    <n v="300"/>
    <n v="300"/>
    <n v="2023"/>
  </r>
  <r>
    <n v="784"/>
    <d v="2023-11-04T00:00:00"/>
    <x v="0"/>
    <s v="CUST784"/>
    <s v="Female"/>
    <n v="34"/>
    <x v="2"/>
    <n v="1"/>
    <n v="500"/>
    <n v="500"/>
    <n v="500"/>
    <n v="2023"/>
  </r>
  <r>
    <n v="785"/>
    <d v="2023-03-03T00:00:00"/>
    <x v="5"/>
    <s v="CUST785"/>
    <s v="Female"/>
    <n v="31"/>
    <x v="0"/>
    <n v="4"/>
    <n v="50"/>
    <n v="200"/>
    <n v="200"/>
    <n v="2023"/>
  </r>
  <r>
    <n v="786"/>
    <d v="2023-10-17T00:00:00"/>
    <x v="7"/>
    <s v="CUST786"/>
    <s v="Male"/>
    <n v="48"/>
    <x v="1"/>
    <n v="4"/>
    <n v="25"/>
    <n v="100"/>
    <n v="100"/>
    <n v="2023"/>
  </r>
  <r>
    <n v="787"/>
    <d v="2023-01-22T00:00:00"/>
    <x v="2"/>
    <s v="CUST787"/>
    <s v="Male"/>
    <n v="41"/>
    <x v="2"/>
    <n v="1"/>
    <n v="25"/>
    <n v="25"/>
    <n v="25"/>
    <n v="2023"/>
  </r>
  <r>
    <n v="788"/>
    <d v="2023-06-27T00:00:00"/>
    <x v="10"/>
    <s v="CUST788"/>
    <s v="Female"/>
    <n v="52"/>
    <x v="0"/>
    <n v="3"/>
    <n v="300"/>
    <n v="900"/>
    <n v="900"/>
    <n v="2023"/>
  </r>
  <r>
    <n v="789"/>
    <d v="2023-09-30T00:00:00"/>
    <x v="9"/>
    <s v="CUST789"/>
    <s v="Female"/>
    <n v="61"/>
    <x v="1"/>
    <n v="4"/>
    <n v="500"/>
    <n v="2000"/>
    <n v="2000"/>
    <n v="2023"/>
  </r>
  <r>
    <n v="790"/>
    <d v="2023-08-08T00:00:00"/>
    <x v="8"/>
    <s v="CUST790"/>
    <s v="Male"/>
    <n v="62"/>
    <x v="1"/>
    <n v="1"/>
    <n v="25"/>
    <n v="25"/>
    <n v="25"/>
    <n v="2023"/>
  </r>
  <r>
    <n v="791"/>
    <d v="2023-12-05T00:00:00"/>
    <x v="6"/>
    <s v="CUST791"/>
    <s v="Female"/>
    <n v="51"/>
    <x v="0"/>
    <n v="1"/>
    <n v="25"/>
    <n v="25"/>
    <n v="25"/>
    <n v="2023"/>
  </r>
  <r>
    <n v="792"/>
    <d v="2023-07-09T00:00:00"/>
    <x v="11"/>
    <s v="CUST792"/>
    <s v="Female"/>
    <n v="20"/>
    <x v="0"/>
    <n v="1"/>
    <n v="50"/>
    <n v="50"/>
    <n v="50"/>
    <n v="2023"/>
  </r>
  <r>
    <n v="793"/>
    <d v="2023-02-05T00:00:00"/>
    <x v="1"/>
    <s v="CUST793"/>
    <s v="Male"/>
    <n v="54"/>
    <x v="0"/>
    <n v="1"/>
    <n v="30"/>
    <n v="30"/>
    <n v="30"/>
    <n v="2023"/>
  </r>
  <r>
    <n v="794"/>
    <d v="2023-09-17T00:00:00"/>
    <x v="9"/>
    <s v="CUST794"/>
    <s v="Female"/>
    <n v="60"/>
    <x v="0"/>
    <n v="1"/>
    <n v="300"/>
    <n v="300"/>
    <n v="300"/>
    <n v="2023"/>
  </r>
  <r>
    <n v="795"/>
    <d v="2023-11-28T00:00:00"/>
    <x v="0"/>
    <s v="CUST795"/>
    <s v="Male"/>
    <n v="57"/>
    <x v="2"/>
    <n v="1"/>
    <n v="300"/>
    <n v="300"/>
    <n v="300"/>
    <n v="2023"/>
  </r>
  <r>
    <n v="796"/>
    <d v="2023-06-24T00:00:00"/>
    <x v="10"/>
    <s v="CUST796"/>
    <s v="Male"/>
    <n v="43"/>
    <x v="0"/>
    <n v="4"/>
    <n v="30"/>
    <n v="120"/>
    <n v="120"/>
    <n v="2023"/>
  </r>
  <r>
    <n v="797"/>
    <d v="2023-01-07T00:00:00"/>
    <x v="2"/>
    <s v="CUST797"/>
    <s v="Male"/>
    <n v="40"/>
    <x v="1"/>
    <n v="3"/>
    <n v="25"/>
    <n v="75"/>
    <n v="75"/>
    <n v="2023"/>
  </r>
  <r>
    <n v="798"/>
    <d v="2023-08-04T00:00:00"/>
    <x v="8"/>
    <s v="CUST798"/>
    <s v="Male"/>
    <n v="61"/>
    <x v="1"/>
    <n v="1"/>
    <n v="50"/>
    <n v="50"/>
    <n v="50"/>
    <n v="2023"/>
  </r>
  <r>
    <n v="799"/>
    <d v="2023-09-08T00:00:00"/>
    <x v="9"/>
    <s v="CUST799"/>
    <s v="Male"/>
    <n v="56"/>
    <x v="2"/>
    <n v="2"/>
    <n v="50"/>
    <n v="100"/>
    <n v="100"/>
    <n v="2023"/>
  </r>
  <r>
    <n v="800"/>
    <d v="2023-02-24T00:00:00"/>
    <x v="1"/>
    <s v="CUST800"/>
    <s v="Male"/>
    <n v="32"/>
    <x v="1"/>
    <n v="4"/>
    <n v="300"/>
    <n v="1200"/>
    <n v="1200"/>
    <n v="2023"/>
  </r>
  <r>
    <n v="801"/>
    <d v="2023-08-10T00:00:00"/>
    <x v="8"/>
    <s v="CUST801"/>
    <s v="Male"/>
    <n v="21"/>
    <x v="1"/>
    <n v="4"/>
    <n v="50"/>
    <n v="200"/>
    <n v="200"/>
    <n v="2023"/>
  </r>
  <r>
    <n v="802"/>
    <d v="2023-07-05T00:00:00"/>
    <x v="11"/>
    <s v="CUST802"/>
    <s v="Female"/>
    <n v="46"/>
    <x v="0"/>
    <n v="1"/>
    <n v="30"/>
    <n v="30"/>
    <n v="30"/>
    <n v="2023"/>
  </r>
  <r>
    <n v="803"/>
    <d v="2023-11-22T00:00:00"/>
    <x v="0"/>
    <s v="CUST803"/>
    <s v="Male"/>
    <n v="39"/>
    <x v="1"/>
    <n v="4"/>
    <n v="25"/>
    <n v="100"/>
    <n v="100"/>
    <n v="2023"/>
  </r>
  <r>
    <n v="804"/>
    <d v="2023-08-24T00:00:00"/>
    <x v="8"/>
    <s v="CUST804"/>
    <s v="Male"/>
    <n v="42"/>
    <x v="2"/>
    <n v="1"/>
    <n v="30"/>
    <n v="30"/>
    <n v="30"/>
    <n v="2023"/>
  </r>
  <r>
    <n v="805"/>
    <d v="2023-12-29T00:00:00"/>
    <x v="6"/>
    <s v="CUST805"/>
    <s v="Female"/>
    <n v="30"/>
    <x v="0"/>
    <n v="3"/>
    <n v="500"/>
    <n v="1500"/>
    <n v="1500"/>
    <n v="2023"/>
  </r>
  <r>
    <n v="806"/>
    <d v="2023-03-20T00:00:00"/>
    <x v="5"/>
    <s v="CUST806"/>
    <s v="Female"/>
    <n v="35"/>
    <x v="0"/>
    <n v="3"/>
    <n v="300"/>
    <n v="900"/>
    <n v="900"/>
    <n v="2023"/>
  </r>
  <r>
    <n v="807"/>
    <d v="2023-08-11T00:00:00"/>
    <x v="8"/>
    <s v="CUST807"/>
    <s v="Female"/>
    <n v="50"/>
    <x v="2"/>
    <n v="4"/>
    <n v="50"/>
    <n v="200"/>
    <n v="200"/>
    <n v="2023"/>
  </r>
  <r>
    <n v="808"/>
    <d v="2023-04-01T00:00:00"/>
    <x v="4"/>
    <s v="CUST808"/>
    <s v="Male"/>
    <n v="33"/>
    <x v="0"/>
    <n v="4"/>
    <n v="500"/>
    <n v="2000"/>
    <n v="2000"/>
    <n v="2023"/>
  </r>
  <r>
    <n v="809"/>
    <d v="2023-09-25T00:00:00"/>
    <x v="9"/>
    <s v="CUST809"/>
    <s v="Female"/>
    <n v="62"/>
    <x v="0"/>
    <n v="2"/>
    <n v="50"/>
    <n v="100"/>
    <n v="100"/>
    <n v="2023"/>
  </r>
  <r>
    <n v="810"/>
    <d v="2023-11-30T00:00:00"/>
    <x v="0"/>
    <s v="CUST810"/>
    <s v="Male"/>
    <n v="59"/>
    <x v="2"/>
    <n v="4"/>
    <n v="25"/>
    <n v="100"/>
    <n v="100"/>
    <n v="2023"/>
  </r>
  <r>
    <n v="811"/>
    <d v="2023-05-19T00:00:00"/>
    <x v="3"/>
    <s v="CUST811"/>
    <s v="Male"/>
    <n v="61"/>
    <x v="0"/>
    <n v="2"/>
    <n v="25"/>
    <n v="50"/>
    <n v="50"/>
    <n v="2023"/>
  </r>
  <r>
    <n v="812"/>
    <d v="2023-11-12T00:00:00"/>
    <x v="0"/>
    <s v="CUST812"/>
    <s v="Male"/>
    <n v="19"/>
    <x v="2"/>
    <n v="3"/>
    <n v="25"/>
    <n v="75"/>
    <n v="75"/>
    <n v="2023"/>
  </r>
  <r>
    <n v="813"/>
    <d v="2023-10-03T00:00:00"/>
    <x v="7"/>
    <s v="CUST813"/>
    <s v="Male"/>
    <n v="52"/>
    <x v="2"/>
    <n v="3"/>
    <n v="50"/>
    <n v="150"/>
    <n v="150"/>
    <n v="2023"/>
  </r>
  <r>
    <n v="814"/>
    <d v="2023-09-05T00:00:00"/>
    <x v="9"/>
    <s v="CUST814"/>
    <s v="Female"/>
    <n v="59"/>
    <x v="1"/>
    <n v="1"/>
    <n v="500"/>
    <n v="500"/>
    <n v="500"/>
    <n v="2023"/>
  </r>
  <r>
    <n v="815"/>
    <d v="2023-08-27T00:00:00"/>
    <x v="8"/>
    <s v="CUST815"/>
    <s v="Female"/>
    <n v="51"/>
    <x v="1"/>
    <n v="3"/>
    <n v="25"/>
    <n v="75"/>
    <n v="75"/>
    <n v="2023"/>
  </r>
  <r>
    <n v="816"/>
    <d v="2023-08-12T00:00:00"/>
    <x v="8"/>
    <s v="CUST816"/>
    <s v="Male"/>
    <n v="47"/>
    <x v="0"/>
    <n v="2"/>
    <n v="500"/>
    <n v="1000"/>
    <n v="1000"/>
    <n v="2023"/>
  </r>
  <r>
    <n v="817"/>
    <d v="2023-10-31T00:00:00"/>
    <x v="7"/>
    <s v="CUST817"/>
    <s v="Male"/>
    <n v="30"/>
    <x v="0"/>
    <n v="4"/>
    <n v="50"/>
    <n v="200"/>
    <n v="200"/>
    <n v="2023"/>
  </r>
  <r>
    <n v="818"/>
    <d v="2023-05-18T00:00:00"/>
    <x v="3"/>
    <s v="CUST818"/>
    <s v="Male"/>
    <n v="30"/>
    <x v="2"/>
    <n v="1"/>
    <n v="500"/>
    <n v="500"/>
    <n v="500"/>
    <n v="2023"/>
  </r>
  <r>
    <n v="819"/>
    <d v="2023-06-15T00:00:00"/>
    <x v="10"/>
    <s v="CUST819"/>
    <s v="Female"/>
    <n v="35"/>
    <x v="0"/>
    <n v="2"/>
    <n v="50"/>
    <n v="100"/>
    <n v="100"/>
    <n v="2023"/>
  </r>
  <r>
    <n v="820"/>
    <d v="2023-05-06T00:00:00"/>
    <x v="3"/>
    <s v="CUST820"/>
    <s v="Male"/>
    <n v="49"/>
    <x v="2"/>
    <n v="4"/>
    <n v="50"/>
    <n v="200"/>
    <n v="200"/>
    <n v="2023"/>
  </r>
  <r>
    <n v="821"/>
    <d v="2023-02-14T00:00:00"/>
    <x v="1"/>
    <s v="CUST821"/>
    <s v="Male"/>
    <n v="49"/>
    <x v="2"/>
    <n v="1"/>
    <n v="300"/>
    <n v="300"/>
    <n v="300"/>
    <n v="2023"/>
  </r>
  <r>
    <n v="822"/>
    <d v="2023-05-23T00:00:00"/>
    <x v="3"/>
    <s v="CUST822"/>
    <s v="Female"/>
    <n v="52"/>
    <x v="0"/>
    <n v="3"/>
    <n v="50"/>
    <n v="150"/>
    <n v="150"/>
    <n v="2023"/>
  </r>
  <r>
    <n v="823"/>
    <d v="2023-08-19T00:00:00"/>
    <x v="8"/>
    <s v="CUST823"/>
    <s v="Female"/>
    <n v="56"/>
    <x v="2"/>
    <n v="2"/>
    <n v="50"/>
    <n v="100"/>
    <n v="100"/>
    <n v="2023"/>
  </r>
  <r>
    <n v="824"/>
    <d v="2023-05-05T00:00:00"/>
    <x v="3"/>
    <s v="CUST824"/>
    <s v="Male"/>
    <n v="63"/>
    <x v="1"/>
    <n v="4"/>
    <n v="30"/>
    <n v="120"/>
    <n v="120"/>
    <n v="2023"/>
  </r>
  <r>
    <n v="825"/>
    <d v="2023-08-26T00:00:00"/>
    <x v="8"/>
    <s v="CUST825"/>
    <s v="Female"/>
    <n v="46"/>
    <x v="0"/>
    <n v="1"/>
    <n v="25"/>
    <n v="25"/>
    <n v="25"/>
    <n v="2023"/>
  </r>
  <r>
    <n v="826"/>
    <d v="2023-10-19T00:00:00"/>
    <x v="7"/>
    <s v="CUST826"/>
    <s v="Female"/>
    <n v="46"/>
    <x v="1"/>
    <n v="1"/>
    <n v="300"/>
    <n v="300"/>
    <n v="300"/>
    <n v="2023"/>
  </r>
  <r>
    <n v="827"/>
    <d v="2023-11-09T00:00:00"/>
    <x v="0"/>
    <s v="CUST827"/>
    <s v="Male"/>
    <n v="61"/>
    <x v="0"/>
    <n v="3"/>
    <n v="300"/>
    <n v="900"/>
    <n v="900"/>
    <n v="2023"/>
  </r>
  <r>
    <n v="828"/>
    <d v="2023-12-09T00:00:00"/>
    <x v="6"/>
    <s v="CUST828"/>
    <s v="Female"/>
    <n v="33"/>
    <x v="2"/>
    <n v="4"/>
    <n v="300"/>
    <n v="1200"/>
    <n v="1200"/>
    <n v="2023"/>
  </r>
  <r>
    <n v="829"/>
    <d v="2023-07-14T00:00:00"/>
    <x v="11"/>
    <s v="CUST829"/>
    <s v="Male"/>
    <n v="61"/>
    <x v="0"/>
    <n v="3"/>
    <n v="30"/>
    <n v="90"/>
    <n v="90"/>
    <n v="2023"/>
  </r>
  <r>
    <n v="830"/>
    <d v="2023-06-22T00:00:00"/>
    <x v="10"/>
    <s v="CUST830"/>
    <s v="Female"/>
    <n v="64"/>
    <x v="1"/>
    <n v="3"/>
    <n v="50"/>
    <n v="150"/>
    <n v="150"/>
    <n v="2023"/>
  </r>
  <r>
    <n v="831"/>
    <d v="2023-01-15T00:00:00"/>
    <x v="2"/>
    <s v="CUST831"/>
    <s v="Male"/>
    <n v="27"/>
    <x v="2"/>
    <n v="4"/>
    <n v="25"/>
    <n v="100"/>
    <n v="100"/>
    <n v="2023"/>
  </r>
  <r>
    <n v="832"/>
    <d v="2023-09-11T00:00:00"/>
    <x v="9"/>
    <s v="CUST832"/>
    <s v="Male"/>
    <n v="47"/>
    <x v="0"/>
    <n v="4"/>
    <n v="500"/>
    <n v="2000"/>
    <n v="2000"/>
    <n v="2023"/>
  </r>
  <r>
    <n v="833"/>
    <d v="2023-06-16T00:00:00"/>
    <x v="10"/>
    <s v="CUST833"/>
    <s v="Male"/>
    <n v="42"/>
    <x v="0"/>
    <n v="4"/>
    <n v="50"/>
    <n v="200"/>
    <n v="200"/>
    <n v="2023"/>
  </r>
  <r>
    <n v="834"/>
    <d v="2023-04-04T00:00:00"/>
    <x v="4"/>
    <s v="CUST834"/>
    <s v="Female"/>
    <n v="56"/>
    <x v="0"/>
    <n v="2"/>
    <n v="30"/>
    <n v="60"/>
    <n v="60"/>
    <n v="2023"/>
  </r>
  <r>
    <n v="835"/>
    <d v="2023-09-07T00:00:00"/>
    <x v="9"/>
    <s v="CUST835"/>
    <s v="Male"/>
    <n v="37"/>
    <x v="1"/>
    <n v="4"/>
    <n v="50"/>
    <n v="200"/>
    <n v="200"/>
    <n v="2023"/>
  </r>
  <r>
    <n v="836"/>
    <d v="2023-04-19T00:00:00"/>
    <x v="4"/>
    <s v="CUST836"/>
    <s v="Female"/>
    <n v="22"/>
    <x v="1"/>
    <n v="1"/>
    <n v="50"/>
    <n v="50"/>
    <n v="50"/>
    <n v="2023"/>
  </r>
  <r>
    <n v="837"/>
    <d v="2023-07-01T00:00:00"/>
    <x v="11"/>
    <s v="CUST837"/>
    <s v="Male"/>
    <n v="18"/>
    <x v="0"/>
    <n v="3"/>
    <n v="30"/>
    <n v="90"/>
    <n v="90"/>
    <n v="2023"/>
  </r>
  <r>
    <n v="838"/>
    <d v="2023-05-13T00:00:00"/>
    <x v="3"/>
    <s v="CUST838"/>
    <s v="Male"/>
    <n v="47"/>
    <x v="2"/>
    <n v="2"/>
    <n v="300"/>
    <n v="600"/>
    <n v="600"/>
    <n v="2023"/>
  </r>
  <r>
    <n v="839"/>
    <d v="2023-06-24T00:00:00"/>
    <x v="10"/>
    <s v="CUST839"/>
    <s v="Female"/>
    <n v="20"/>
    <x v="2"/>
    <n v="4"/>
    <n v="300"/>
    <n v="1200"/>
    <n v="1200"/>
    <n v="2023"/>
  </r>
  <r>
    <n v="840"/>
    <d v="2023-05-24T00:00:00"/>
    <x v="3"/>
    <s v="CUST840"/>
    <s v="Male"/>
    <n v="62"/>
    <x v="1"/>
    <n v="2"/>
    <n v="25"/>
    <n v="50"/>
    <n v="50"/>
    <n v="2023"/>
  </r>
  <r>
    <n v="841"/>
    <d v="2023-11-02T00:00:00"/>
    <x v="0"/>
    <s v="CUST841"/>
    <s v="Male"/>
    <n v="31"/>
    <x v="2"/>
    <n v="4"/>
    <n v="25"/>
    <n v="100"/>
    <n v="100"/>
    <n v="2023"/>
  </r>
  <r>
    <n v="842"/>
    <d v="2023-12-26T00:00:00"/>
    <x v="6"/>
    <s v="CUST842"/>
    <s v="Female"/>
    <n v="47"/>
    <x v="1"/>
    <n v="2"/>
    <n v="300"/>
    <n v="600"/>
    <n v="600"/>
    <n v="2023"/>
  </r>
  <r>
    <n v="843"/>
    <d v="2023-05-22T00:00:00"/>
    <x v="3"/>
    <s v="CUST843"/>
    <s v="Male"/>
    <n v="21"/>
    <x v="0"/>
    <n v="3"/>
    <n v="500"/>
    <n v="1500"/>
    <n v="1500"/>
    <n v="2023"/>
  </r>
  <r>
    <n v="844"/>
    <d v="2023-10-12T00:00:00"/>
    <x v="7"/>
    <s v="CUST844"/>
    <s v="Male"/>
    <n v="35"/>
    <x v="1"/>
    <n v="3"/>
    <n v="50"/>
    <n v="150"/>
    <n v="150"/>
    <n v="2023"/>
  </r>
  <r>
    <n v="845"/>
    <d v="2023-01-06T00:00:00"/>
    <x v="2"/>
    <s v="CUST845"/>
    <s v="Male"/>
    <n v="54"/>
    <x v="1"/>
    <n v="1"/>
    <n v="500"/>
    <n v="500"/>
    <n v="500"/>
    <n v="2023"/>
  </r>
  <r>
    <n v="846"/>
    <d v="2023-09-22T00:00:00"/>
    <x v="9"/>
    <s v="CUST846"/>
    <s v="Male"/>
    <n v="42"/>
    <x v="0"/>
    <n v="1"/>
    <n v="50"/>
    <n v="50"/>
    <n v="50"/>
    <n v="2023"/>
  </r>
  <r>
    <n v="847"/>
    <d v="2023-04-08T00:00:00"/>
    <x v="4"/>
    <s v="CUST847"/>
    <s v="Female"/>
    <n v="18"/>
    <x v="2"/>
    <n v="4"/>
    <n v="300"/>
    <n v="1200"/>
    <n v="1200"/>
    <n v="2023"/>
  </r>
  <r>
    <n v="848"/>
    <d v="2023-02-13T00:00:00"/>
    <x v="1"/>
    <s v="CUST848"/>
    <s v="Female"/>
    <n v="63"/>
    <x v="1"/>
    <n v="3"/>
    <n v="25"/>
    <n v="75"/>
    <n v="75"/>
    <n v="2023"/>
  </r>
  <r>
    <n v="849"/>
    <d v="2023-05-04T00:00:00"/>
    <x v="3"/>
    <s v="CUST849"/>
    <s v="Male"/>
    <n v="32"/>
    <x v="1"/>
    <n v="2"/>
    <n v="25"/>
    <n v="50"/>
    <n v="50"/>
    <n v="2023"/>
  </r>
  <r>
    <n v="850"/>
    <d v="2023-07-28T00:00:00"/>
    <x v="11"/>
    <s v="CUST850"/>
    <s v="Female"/>
    <n v="26"/>
    <x v="0"/>
    <n v="2"/>
    <n v="500"/>
    <n v="1000"/>
    <n v="1000"/>
    <n v="2023"/>
  </r>
  <r>
    <n v="851"/>
    <d v="2023-09-08T00:00:00"/>
    <x v="9"/>
    <s v="CUST851"/>
    <s v="Male"/>
    <n v="32"/>
    <x v="2"/>
    <n v="2"/>
    <n v="25"/>
    <n v="50"/>
    <n v="50"/>
    <n v="2023"/>
  </r>
  <r>
    <n v="852"/>
    <d v="2023-10-12T00:00:00"/>
    <x v="7"/>
    <s v="CUST852"/>
    <s v="Female"/>
    <n v="41"/>
    <x v="1"/>
    <n v="1"/>
    <n v="300"/>
    <n v="300"/>
    <n v="300"/>
    <n v="2023"/>
  </r>
  <r>
    <n v="853"/>
    <d v="2023-05-04T00:00:00"/>
    <x v="3"/>
    <s v="CUST853"/>
    <s v="Male"/>
    <n v="21"/>
    <x v="0"/>
    <n v="2"/>
    <n v="500"/>
    <n v="1000"/>
    <n v="1000"/>
    <n v="2023"/>
  </r>
  <r>
    <n v="854"/>
    <d v="2023-12-20T00:00:00"/>
    <x v="6"/>
    <s v="CUST854"/>
    <s v="Male"/>
    <n v="29"/>
    <x v="1"/>
    <n v="1"/>
    <n v="50"/>
    <n v="50"/>
    <n v="50"/>
    <n v="2023"/>
  </r>
  <r>
    <n v="855"/>
    <d v="2023-09-01T00:00:00"/>
    <x v="9"/>
    <s v="CUST855"/>
    <s v="Male"/>
    <n v="54"/>
    <x v="0"/>
    <n v="1"/>
    <n v="25"/>
    <n v="25"/>
    <n v="25"/>
    <n v="2023"/>
  </r>
  <r>
    <n v="856"/>
    <d v="2023-11-27T00:00:00"/>
    <x v="0"/>
    <s v="CUST856"/>
    <s v="Male"/>
    <n v="54"/>
    <x v="2"/>
    <n v="4"/>
    <n v="30"/>
    <n v="120"/>
    <n v="120"/>
    <n v="2023"/>
  </r>
  <r>
    <n v="857"/>
    <d v="2023-12-31T00:00:00"/>
    <x v="6"/>
    <s v="CUST857"/>
    <s v="Male"/>
    <n v="60"/>
    <x v="2"/>
    <n v="2"/>
    <n v="25"/>
    <n v="50"/>
    <n v="50"/>
    <n v="2023"/>
  </r>
  <r>
    <n v="858"/>
    <d v="2023-09-09T00:00:00"/>
    <x v="9"/>
    <s v="CUST858"/>
    <s v="Male"/>
    <n v="23"/>
    <x v="2"/>
    <n v="2"/>
    <n v="50"/>
    <n v="100"/>
    <n v="100"/>
    <n v="2023"/>
  </r>
  <r>
    <n v="859"/>
    <d v="2023-08-18T00:00:00"/>
    <x v="8"/>
    <s v="CUST859"/>
    <s v="Female"/>
    <n v="56"/>
    <x v="2"/>
    <n v="3"/>
    <n v="500"/>
    <n v="1500"/>
    <n v="1500"/>
    <n v="2023"/>
  </r>
  <r>
    <n v="860"/>
    <d v="2023-01-09T00:00:00"/>
    <x v="2"/>
    <s v="CUST860"/>
    <s v="Male"/>
    <n v="63"/>
    <x v="1"/>
    <n v="4"/>
    <n v="50"/>
    <n v="200"/>
    <n v="200"/>
    <n v="2023"/>
  </r>
  <r>
    <n v="861"/>
    <d v="2023-02-17T00:00:00"/>
    <x v="1"/>
    <s v="CUST861"/>
    <s v="Female"/>
    <n v="41"/>
    <x v="1"/>
    <n v="3"/>
    <n v="30"/>
    <n v="90"/>
    <n v="90"/>
    <n v="2023"/>
  </r>
  <r>
    <n v="862"/>
    <d v="2023-05-31T00:00:00"/>
    <x v="3"/>
    <s v="CUST862"/>
    <s v="Male"/>
    <n v="28"/>
    <x v="2"/>
    <n v="4"/>
    <n v="300"/>
    <n v="1200"/>
    <n v="1200"/>
    <n v="2023"/>
  </r>
  <r>
    <n v="863"/>
    <d v="2023-04-24T00:00:00"/>
    <x v="4"/>
    <s v="CUST863"/>
    <s v="Female"/>
    <n v="30"/>
    <x v="2"/>
    <n v="2"/>
    <n v="25"/>
    <n v="50"/>
    <n v="50"/>
    <n v="2023"/>
  </r>
  <r>
    <n v="864"/>
    <d v="2023-07-27T00:00:00"/>
    <x v="11"/>
    <s v="CUST864"/>
    <s v="Female"/>
    <n v="51"/>
    <x v="2"/>
    <n v="1"/>
    <n v="500"/>
    <n v="500"/>
    <n v="500"/>
    <n v="2023"/>
  </r>
  <r>
    <n v="865"/>
    <d v="2023-12-21T00:00:00"/>
    <x v="6"/>
    <s v="CUST865"/>
    <s v="Female"/>
    <n v="42"/>
    <x v="1"/>
    <n v="1"/>
    <n v="300"/>
    <n v="300"/>
    <n v="300"/>
    <n v="2023"/>
  </r>
  <r>
    <n v="866"/>
    <d v="2023-05-05T00:00:00"/>
    <x v="3"/>
    <s v="CUST866"/>
    <s v="Male"/>
    <n v="24"/>
    <x v="2"/>
    <n v="1"/>
    <n v="50"/>
    <n v="50"/>
    <n v="50"/>
    <n v="2023"/>
  </r>
  <r>
    <n v="867"/>
    <d v="2023-06-06T00:00:00"/>
    <x v="10"/>
    <s v="CUST867"/>
    <s v="Male"/>
    <n v="21"/>
    <x v="2"/>
    <n v="1"/>
    <n v="500"/>
    <n v="500"/>
    <n v="500"/>
    <n v="2023"/>
  </r>
  <r>
    <n v="868"/>
    <d v="2023-12-06T00:00:00"/>
    <x v="6"/>
    <s v="CUST868"/>
    <s v="Female"/>
    <n v="25"/>
    <x v="2"/>
    <n v="1"/>
    <n v="300"/>
    <n v="300"/>
    <n v="300"/>
    <n v="2023"/>
  </r>
  <r>
    <n v="869"/>
    <d v="2023-10-25T00:00:00"/>
    <x v="7"/>
    <s v="CUST869"/>
    <s v="Male"/>
    <n v="37"/>
    <x v="0"/>
    <n v="3"/>
    <n v="500"/>
    <n v="1500"/>
    <n v="1500"/>
    <n v="2023"/>
  </r>
  <r>
    <n v="870"/>
    <d v="2023-07-08T00:00:00"/>
    <x v="11"/>
    <s v="CUST870"/>
    <s v="Female"/>
    <n v="46"/>
    <x v="2"/>
    <n v="4"/>
    <n v="30"/>
    <n v="120"/>
    <n v="120"/>
    <n v="2023"/>
  </r>
  <r>
    <n v="871"/>
    <d v="2023-08-31T00:00:00"/>
    <x v="8"/>
    <s v="CUST871"/>
    <s v="Male"/>
    <n v="62"/>
    <x v="0"/>
    <n v="2"/>
    <n v="30"/>
    <n v="60"/>
    <n v="60"/>
    <n v="2023"/>
  </r>
  <r>
    <n v="872"/>
    <d v="2023-10-11T00:00:00"/>
    <x v="7"/>
    <s v="CUST872"/>
    <s v="Female"/>
    <n v="63"/>
    <x v="0"/>
    <n v="3"/>
    <n v="25"/>
    <n v="75"/>
    <n v="75"/>
    <n v="2023"/>
  </r>
  <r>
    <n v="873"/>
    <d v="2023-09-29T00:00:00"/>
    <x v="9"/>
    <s v="CUST873"/>
    <s v="Female"/>
    <n v="27"/>
    <x v="2"/>
    <n v="4"/>
    <n v="25"/>
    <n v="100"/>
    <n v="100"/>
    <n v="2023"/>
  </r>
  <r>
    <n v="874"/>
    <d v="2023-06-26T00:00:00"/>
    <x v="10"/>
    <s v="CUST874"/>
    <s v="Male"/>
    <n v="60"/>
    <x v="0"/>
    <n v="1"/>
    <n v="30"/>
    <n v="30"/>
    <n v="30"/>
    <n v="2023"/>
  </r>
  <r>
    <n v="875"/>
    <d v="2023-08-06T00:00:00"/>
    <x v="8"/>
    <s v="CUST875"/>
    <s v="Female"/>
    <n v="51"/>
    <x v="2"/>
    <n v="4"/>
    <n v="500"/>
    <n v="2000"/>
    <n v="2000"/>
    <n v="2023"/>
  </r>
  <r>
    <n v="876"/>
    <d v="2023-10-09T00:00:00"/>
    <x v="7"/>
    <s v="CUST876"/>
    <s v="Male"/>
    <n v="43"/>
    <x v="1"/>
    <n v="4"/>
    <n v="30"/>
    <n v="120"/>
    <n v="120"/>
    <n v="2023"/>
  </r>
  <r>
    <n v="877"/>
    <d v="2023-06-19T00:00:00"/>
    <x v="10"/>
    <s v="CUST877"/>
    <s v="Female"/>
    <n v="58"/>
    <x v="1"/>
    <n v="1"/>
    <n v="25"/>
    <n v="25"/>
    <n v="25"/>
    <n v="2023"/>
  </r>
  <r>
    <n v="878"/>
    <d v="2023-06-30T00:00:00"/>
    <x v="10"/>
    <s v="CUST878"/>
    <s v="Female"/>
    <n v="20"/>
    <x v="1"/>
    <n v="1"/>
    <n v="30"/>
    <n v="30"/>
    <n v="30"/>
    <n v="2023"/>
  </r>
  <r>
    <n v="879"/>
    <d v="2023-12-26T00:00:00"/>
    <x v="6"/>
    <s v="CUST879"/>
    <s v="Male"/>
    <n v="23"/>
    <x v="1"/>
    <n v="1"/>
    <n v="30"/>
    <n v="30"/>
    <n v="30"/>
    <n v="2023"/>
  </r>
  <r>
    <n v="880"/>
    <d v="2023-08-21T00:00:00"/>
    <x v="8"/>
    <s v="CUST880"/>
    <s v="Male"/>
    <n v="22"/>
    <x v="0"/>
    <n v="2"/>
    <n v="500"/>
    <n v="1000"/>
    <n v="1000"/>
    <n v="2023"/>
  </r>
  <r>
    <n v="881"/>
    <d v="2023-05-19T00:00:00"/>
    <x v="3"/>
    <s v="CUST881"/>
    <s v="Male"/>
    <n v="22"/>
    <x v="2"/>
    <n v="1"/>
    <n v="300"/>
    <n v="300"/>
    <n v="300"/>
    <n v="2023"/>
  </r>
  <r>
    <n v="882"/>
    <d v="2023-06-06T00:00:00"/>
    <x v="10"/>
    <s v="CUST882"/>
    <s v="Female"/>
    <n v="64"/>
    <x v="2"/>
    <n v="2"/>
    <n v="25"/>
    <n v="50"/>
    <n v="50"/>
    <n v="2023"/>
  </r>
  <r>
    <n v="883"/>
    <d v="2023-05-09T00:00:00"/>
    <x v="3"/>
    <s v="CUST883"/>
    <s v="Male"/>
    <n v="40"/>
    <x v="2"/>
    <n v="1"/>
    <n v="500"/>
    <n v="500"/>
    <n v="500"/>
    <n v="2023"/>
  </r>
  <r>
    <n v="884"/>
    <d v="2023-04-29T00:00:00"/>
    <x v="4"/>
    <s v="CUST884"/>
    <s v="Female"/>
    <n v="26"/>
    <x v="1"/>
    <n v="2"/>
    <n v="30"/>
    <n v="60"/>
    <n v="60"/>
    <n v="2023"/>
  </r>
  <r>
    <n v="885"/>
    <d v="2023-03-03T00:00:00"/>
    <x v="5"/>
    <s v="CUST885"/>
    <s v="Female"/>
    <n v="52"/>
    <x v="1"/>
    <n v="4"/>
    <n v="30"/>
    <n v="120"/>
    <n v="120"/>
    <n v="2023"/>
  </r>
  <r>
    <n v="886"/>
    <d v="2023-04-09T00:00:00"/>
    <x v="4"/>
    <s v="CUST886"/>
    <s v="Male"/>
    <n v="37"/>
    <x v="2"/>
    <n v="3"/>
    <n v="300"/>
    <n v="900"/>
    <n v="900"/>
    <n v="2023"/>
  </r>
  <r>
    <n v="887"/>
    <d v="2023-06-11T00:00:00"/>
    <x v="10"/>
    <s v="CUST887"/>
    <s v="Male"/>
    <n v="59"/>
    <x v="1"/>
    <n v="4"/>
    <n v="25"/>
    <n v="100"/>
    <n v="100"/>
    <n v="2023"/>
  </r>
  <r>
    <n v="888"/>
    <d v="2023-03-03T00:00:00"/>
    <x v="5"/>
    <s v="CUST888"/>
    <s v="Female"/>
    <n v="52"/>
    <x v="2"/>
    <n v="4"/>
    <n v="25"/>
    <n v="100"/>
    <n v="100"/>
    <n v="2023"/>
  </r>
  <r>
    <n v="889"/>
    <d v="2023-10-02T00:00:00"/>
    <x v="7"/>
    <s v="CUST889"/>
    <s v="Female"/>
    <n v="35"/>
    <x v="2"/>
    <n v="1"/>
    <n v="50"/>
    <n v="50"/>
    <n v="50"/>
    <n v="2023"/>
  </r>
  <r>
    <n v="890"/>
    <d v="2023-12-20T00:00:00"/>
    <x v="6"/>
    <s v="CUST890"/>
    <s v="Male"/>
    <n v="34"/>
    <x v="2"/>
    <n v="2"/>
    <n v="25"/>
    <n v="50"/>
    <n v="50"/>
    <n v="2023"/>
  </r>
  <r>
    <n v="891"/>
    <d v="2023-04-05T00:00:00"/>
    <x v="4"/>
    <s v="CUST891"/>
    <s v="Male"/>
    <n v="41"/>
    <x v="2"/>
    <n v="3"/>
    <n v="300"/>
    <n v="900"/>
    <n v="900"/>
    <n v="2023"/>
  </r>
  <r>
    <n v="892"/>
    <d v="2023-04-09T00:00:00"/>
    <x v="4"/>
    <s v="CUST892"/>
    <s v="Male"/>
    <n v="20"/>
    <x v="2"/>
    <n v="1"/>
    <n v="50"/>
    <n v="50"/>
    <n v="50"/>
    <n v="2023"/>
  </r>
  <r>
    <n v="893"/>
    <d v="2023-04-21T00:00:00"/>
    <x v="4"/>
    <s v="CUST893"/>
    <s v="Male"/>
    <n v="49"/>
    <x v="2"/>
    <n v="1"/>
    <n v="50"/>
    <n v="50"/>
    <n v="50"/>
    <n v="2023"/>
  </r>
  <r>
    <n v="894"/>
    <d v="2023-09-05T00:00:00"/>
    <x v="9"/>
    <s v="CUST894"/>
    <s v="Male"/>
    <n v="52"/>
    <x v="2"/>
    <n v="1"/>
    <n v="30"/>
    <n v="30"/>
    <n v="30"/>
    <n v="2023"/>
  </r>
  <r>
    <n v="895"/>
    <d v="2023-05-22T00:00:00"/>
    <x v="3"/>
    <s v="CUST895"/>
    <s v="Female"/>
    <n v="55"/>
    <x v="1"/>
    <n v="4"/>
    <n v="30"/>
    <n v="120"/>
    <n v="120"/>
    <n v="2023"/>
  </r>
  <r>
    <n v="896"/>
    <d v="2023-10-29T00:00:00"/>
    <x v="7"/>
    <s v="CUST896"/>
    <s v="Female"/>
    <n v="30"/>
    <x v="2"/>
    <n v="2"/>
    <n v="25"/>
    <n v="50"/>
    <n v="50"/>
    <n v="2023"/>
  </r>
  <r>
    <n v="897"/>
    <d v="2023-09-26T00:00:00"/>
    <x v="9"/>
    <s v="CUST897"/>
    <s v="Female"/>
    <n v="64"/>
    <x v="2"/>
    <n v="2"/>
    <n v="50"/>
    <n v="100"/>
    <n v="100"/>
    <n v="2023"/>
  </r>
  <r>
    <n v="898"/>
    <d v="2023-11-02T00:00:00"/>
    <x v="0"/>
    <s v="CUST898"/>
    <s v="Female"/>
    <n v="42"/>
    <x v="1"/>
    <n v="3"/>
    <n v="30"/>
    <n v="90"/>
    <n v="90"/>
    <n v="2023"/>
  </r>
  <r>
    <n v="899"/>
    <d v="2023-05-25T00:00:00"/>
    <x v="3"/>
    <s v="CUST899"/>
    <s v="Male"/>
    <n v="26"/>
    <x v="1"/>
    <n v="2"/>
    <n v="300"/>
    <n v="600"/>
    <n v="600"/>
    <n v="2023"/>
  </r>
  <r>
    <n v="900"/>
    <d v="2023-02-21T00:00:00"/>
    <x v="1"/>
    <s v="CUST900"/>
    <s v="Male"/>
    <n v="21"/>
    <x v="1"/>
    <n v="2"/>
    <n v="30"/>
    <n v="60"/>
    <n v="60"/>
    <n v="2023"/>
  </r>
  <r>
    <n v="901"/>
    <d v="2023-04-10T00:00:00"/>
    <x v="4"/>
    <s v="CUST901"/>
    <s v="Male"/>
    <n v="31"/>
    <x v="2"/>
    <n v="1"/>
    <n v="30"/>
    <n v="30"/>
    <n v="30"/>
    <n v="2023"/>
  </r>
  <r>
    <n v="902"/>
    <d v="2023-06-01T00:00:00"/>
    <x v="10"/>
    <s v="CUST902"/>
    <s v="Female"/>
    <n v="54"/>
    <x v="0"/>
    <n v="1"/>
    <n v="50"/>
    <n v="50"/>
    <n v="50"/>
    <n v="2023"/>
  </r>
  <r>
    <n v="903"/>
    <d v="2023-04-27T00:00:00"/>
    <x v="4"/>
    <s v="CUST903"/>
    <s v="Female"/>
    <n v="51"/>
    <x v="0"/>
    <n v="4"/>
    <n v="50"/>
    <n v="200"/>
    <n v="200"/>
    <n v="2023"/>
  </r>
  <r>
    <n v="904"/>
    <d v="2023-07-04T00:00:00"/>
    <x v="11"/>
    <s v="CUST904"/>
    <s v="Male"/>
    <n v="28"/>
    <x v="1"/>
    <n v="1"/>
    <n v="500"/>
    <n v="500"/>
    <n v="500"/>
    <n v="2023"/>
  </r>
  <r>
    <n v="905"/>
    <d v="2023-04-02T00:00:00"/>
    <x v="4"/>
    <s v="CUST905"/>
    <s v="Male"/>
    <n v="58"/>
    <x v="0"/>
    <n v="1"/>
    <n v="300"/>
    <n v="300"/>
    <n v="300"/>
    <n v="2023"/>
  </r>
  <r>
    <n v="906"/>
    <d v="2023-06-04T00:00:00"/>
    <x v="10"/>
    <s v="CUST906"/>
    <s v="Female"/>
    <n v="20"/>
    <x v="1"/>
    <n v="1"/>
    <n v="50"/>
    <n v="50"/>
    <n v="50"/>
    <n v="2023"/>
  </r>
  <r>
    <n v="907"/>
    <d v="2023-01-08T00:00:00"/>
    <x v="2"/>
    <s v="CUST907"/>
    <s v="Female"/>
    <n v="45"/>
    <x v="2"/>
    <n v="1"/>
    <n v="25"/>
    <n v="25"/>
    <n v="25"/>
    <n v="2023"/>
  </r>
  <r>
    <n v="908"/>
    <d v="2023-12-29T00:00:00"/>
    <x v="6"/>
    <s v="CUST908"/>
    <s v="Male"/>
    <n v="46"/>
    <x v="0"/>
    <n v="4"/>
    <n v="300"/>
    <n v="1200"/>
    <n v="1200"/>
    <n v="2023"/>
  </r>
  <r>
    <n v="909"/>
    <d v="2023-10-01T00:00:00"/>
    <x v="7"/>
    <s v="CUST909"/>
    <s v="Male"/>
    <n v="26"/>
    <x v="2"/>
    <n v="1"/>
    <n v="300"/>
    <n v="300"/>
    <n v="300"/>
    <n v="2023"/>
  </r>
  <r>
    <n v="910"/>
    <d v="2023-03-06T00:00:00"/>
    <x v="5"/>
    <s v="CUST910"/>
    <s v="Female"/>
    <n v="20"/>
    <x v="0"/>
    <n v="3"/>
    <n v="50"/>
    <n v="150"/>
    <n v="150"/>
    <n v="2023"/>
  </r>
  <r>
    <n v="911"/>
    <d v="2023-05-21T00:00:00"/>
    <x v="3"/>
    <s v="CUST911"/>
    <s v="Male"/>
    <n v="42"/>
    <x v="2"/>
    <n v="3"/>
    <n v="300"/>
    <n v="900"/>
    <n v="900"/>
    <n v="2023"/>
  </r>
  <r>
    <n v="912"/>
    <d v="2023-01-24T00:00:00"/>
    <x v="2"/>
    <s v="CUST912"/>
    <s v="Male"/>
    <n v="51"/>
    <x v="0"/>
    <n v="3"/>
    <n v="50"/>
    <n v="150"/>
    <n v="150"/>
    <n v="2023"/>
  </r>
  <r>
    <n v="913"/>
    <d v="2023-01-28T00:00:00"/>
    <x v="2"/>
    <s v="CUST913"/>
    <s v="Male"/>
    <n v="29"/>
    <x v="2"/>
    <n v="3"/>
    <n v="30"/>
    <n v="90"/>
    <n v="90"/>
    <n v="2023"/>
  </r>
  <r>
    <n v="914"/>
    <d v="2023-10-11T00:00:00"/>
    <x v="7"/>
    <s v="CUST914"/>
    <s v="Female"/>
    <n v="59"/>
    <x v="2"/>
    <n v="1"/>
    <n v="500"/>
    <n v="500"/>
    <n v="500"/>
    <n v="2023"/>
  </r>
  <r>
    <n v="915"/>
    <d v="2023-05-30T00:00:00"/>
    <x v="3"/>
    <s v="CUST915"/>
    <s v="Female"/>
    <n v="26"/>
    <x v="0"/>
    <n v="3"/>
    <n v="30"/>
    <n v="90"/>
    <n v="90"/>
    <n v="2023"/>
  </r>
  <r>
    <n v="916"/>
    <d v="2023-12-24T00:00:00"/>
    <x v="6"/>
    <s v="CUST916"/>
    <s v="Female"/>
    <n v="32"/>
    <x v="2"/>
    <n v="1"/>
    <n v="50"/>
    <n v="50"/>
    <n v="50"/>
    <n v="2023"/>
  </r>
  <r>
    <n v="917"/>
    <d v="2023-03-06T00:00:00"/>
    <x v="5"/>
    <s v="CUST917"/>
    <s v="Female"/>
    <n v="57"/>
    <x v="2"/>
    <n v="4"/>
    <n v="50"/>
    <n v="200"/>
    <n v="200"/>
    <n v="2023"/>
  </r>
  <r>
    <n v="918"/>
    <d v="2023-11-23T00:00:00"/>
    <x v="0"/>
    <s v="CUST918"/>
    <s v="Female"/>
    <n v="42"/>
    <x v="2"/>
    <n v="3"/>
    <n v="30"/>
    <n v="90"/>
    <n v="90"/>
    <n v="2023"/>
  </r>
  <r>
    <n v="919"/>
    <d v="2023-09-09T00:00:00"/>
    <x v="9"/>
    <s v="CUST919"/>
    <s v="Female"/>
    <n v="22"/>
    <x v="0"/>
    <n v="2"/>
    <n v="25"/>
    <n v="50"/>
    <n v="50"/>
    <n v="2023"/>
  </r>
  <r>
    <n v="920"/>
    <d v="2023-02-22T00:00:00"/>
    <x v="1"/>
    <s v="CUST920"/>
    <s v="Female"/>
    <n v="28"/>
    <x v="0"/>
    <n v="3"/>
    <n v="25"/>
    <n v="75"/>
    <n v="75"/>
    <n v="2023"/>
  </r>
  <r>
    <n v="921"/>
    <d v="2023-01-07T00:00:00"/>
    <x v="2"/>
    <s v="CUST921"/>
    <s v="Male"/>
    <n v="51"/>
    <x v="2"/>
    <n v="3"/>
    <n v="25"/>
    <n v="75"/>
    <n v="75"/>
    <n v="2023"/>
  </r>
  <r>
    <n v="922"/>
    <d v="2023-10-21T00:00:00"/>
    <x v="7"/>
    <s v="CUST922"/>
    <s v="Male"/>
    <n v="41"/>
    <x v="2"/>
    <n v="1"/>
    <n v="50"/>
    <n v="50"/>
    <n v="50"/>
    <n v="2023"/>
  </r>
  <r>
    <n v="923"/>
    <d v="2023-05-26T00:00:00"/>
    <x v="3"/>
    <s v="CUST923"/>
    <s v="Male"/>
    <n v="32"/>
    <x v="0"/>
    <n v="3"/>
    <n v="300"/>
    <n v="900"/>
    <n v="900"/>
    <n v="2023"/>
  </r>
  <r>
    <n v="924"/>
    <d v="2023-08-29T00:00:00"/>
    <x v="8"/>
    <s v="CUST924"/>
    <s v="Male"/>
    <n v="55"/>
    <x v="0"/>
    <n v="2"/>
    <n v="50"/>
    <n v="100"/>
    <n v="100"/>
    <n v="2023"/>
  </r>
  <r>
    <n v="925"/>
    <d v="2023-09-03T00:00:00"/>
    <x v="9"/>
    <s v="CUST925"/>
    <s v="Male"/>
    <n v="25"/>
    <x v="2"/>
    <n v="1"/>
    <n v="300"/>
    <n v="300"/>
    <n v="300"/>
    <n v="2023"/>
  </r>
  <r>
    <n v="926"/>
    <d v="2023-08-14T00:00:00"/>
    <x v="8"/>
    <s v="CUST926"/>
    <s v="Male"/>
    <n v="22"/>
    <x v="2"/>
    <n v="1"/>
    <n v="30"/>
    <n v="30"/>
    <n v="30"/>
    <n v="2023"/>
  </r>
  <r>
    <n v="927"/>
    <d v="2023-06-24T00:00:00"/>
    <x v="10"/>
    <s v="CUST927"/>
    <s v="Male"/>
    <n v="43"/>
    <x v="2"/>
    <n v="4"/>
    <n v="500"/>
    <n v="2000"/>
    <n v="2000"/>
    <n v="2023"/>
  </r>
  <r>
    <n v="928"/>
    <d v="2023-04-05T00:00:00"/>
    <x v="4"/>
    <s v="CUST928"/>
    <s v="Female"/>
    <n v="35"/>
    <x v="1"/>
    <n v="4"/>
    <n v="300"/>
    <n v="1200"/>
    <n v="1200"/>
    <n v="2023"/>
  </r>
  <r>
    <n v="929"/>
    <d v="2023-01-27T00:00:00"/>
    <x v="2"/>
    <s v="CUST929"/>
    <s v="Female"/>
    <n v="23"/>
    <x v="0"/>
    <n v="3"/>
    <n v="25"/>
    <n v="75"/>
    <n v="75"/>
    <n v="2023"/>
  </r>
  <r>
    <n v="930"/>
    <d v="2023-05-10T00:00:00"/>
    <x v="3"/>
    <s v="CUST930"/>
    <s v="Male"/>
    <n v="54"/>
    <x v="1"/>
    <n v="4"/>
    <n v="50"/>
    <n v="200"/>
    <n v="200"/>
    <n v="2023"/>
  </r>
  <r>
    <n v="931"/>
    <d v="2023-09-02T00:00:00"/>
    <x v="9"/>
    <s v="CUST931"/>
    <s v="Male"/>
    <n v="30"/>
    <x v="0"/>
    <n v="4"/>
    <n v="30"/>
    <n v="120"/>
    <n v="120"/>
    <n v="2023"/>
  </r>
  <r>
    <n v="932"/>
    <d v="2023-02-28T00:00:00"/>
    <x v="1"/>
    <s v="CUST932"/>
    <s v="Female"/>
    <n v="45"/>
    <x v="0"/>
    <n v="4"/>
    <n v="25"/>
    <n v="100"/>
    <n v="100"/>
    <n v="2023"/>
  </r>
  <r>
    <n v="933"/>
    <d v="2023-02-03T00:00:00"/>
    <x v="1"/>
    <s v="CUST933"/>
    <s v="Male"/>
    <n v="22"/>
    <x v="0"/>
    <n v="1"/>
    <n v="30"/>
    <n v="30"/>
    <n v="30"/>
    <n v="2023"/>
  </r>
  <r>
    <n v="934"/>
    <d v="2023-07-25T00:00:00"/>
    <x v="11"/>
    <s v="CUST934"/>
    <s v="Male"/>
    <n v="30"/>
    <x v="0"/>
    <n v="1"/>
    <n v="500"/>
    <n v="500"/>
    <n v="500"/>
    <n v="2023"/>
  </r>
  <r>
    <n v="935"/>
    <d v="2023-09-09T00:00:00"/>
    <x v="9"/>
    <s v="CUST935"/>
    <s v="Female"/>
    <n v="34"/>
    <x v="0"/>
    <n v="1"/>
    <n v="50"/>
    <n v="50"/>
    <n v="50"/>
    <n v="2023"/>
  </r>
  <r>
    <n v="936"/>
    <d v="2023-02-07T00:00:00"/>
    <x v="1"/>
    <s v="CUST936"/>
    <s v="Male"/>
    <n v="57"/>
    <x v="0"/>
    <n v="4"/>
    <n v="50"/>
    <n v="200"/>
    <n v="200"/>
    <n v="2023"/>
  </r>
  <r>
    <n v="937"/>
    <d v="2023-10-23T00:00:00"/>
    <x v="7"/>
    <s v="CUST937"/>
    <s v="Female"/>
    <n v="62"/>
    <x v="0"/>
    <n v="1"/>
    <n v="500"/>
    <n v="500"/>
    <n v="500"/>
    <n v="2023"/>
  </r>
  <r>
    <n v="938"/>
    <d v="2023-11-19T00:00:00"/>
    <x v="0"/>
    <s v="CUST938"/>
    <s v="Male"/>
    <n v="49"/>
    <x v="1"/>
    <n v="4"/>
    <n v="50"/>
    <n v="200"/>
    <n v="200"/>
    <n v="2023"/>
  </r>
  <r>
    <n v="939"/>
    <d v="2023-12-18T00:00:00"/>
    <x v="6"/>
    <s v="CUST939"/>
    <s v="Female"/>
    <n v="46"/>
    <x v="2"/>
    <n v="1"/>
    <n v="300"/>
    <n v="300"/>
    <n v="300"/>
    <n v="2023"/>
  </r>
  <r>
    <n v="940"/>
    <d v="2023-01-28T00:00:00"/>
    <x v="2"/>
    <s v="CUST940"/>
    <s v="Female"/>
    <n v="20"/>
    <x v="2"/>
    <n v="1"/>
    <n v="30"/>
    <n v="30"/>
    <n v="30"/>
    <n v="2023"/>
  </r>
  <r>
    <n v="941"/>
    <d v="2023-03-19T00:00:00"/>
    <x v="5"/>
    <s v="CUST941"/>
    <s v="Female"/>
    <n v="57"/>
    <x v="1"/>
    <n v="2"/>
    <n v="25"/>
    <n v="50"/>
    <n v="50"/>
    <n v="2023"/>
  </r>
  <r>
    <n v="942"/>
    <d v="2023-03-18T00:00:00"/>
    <x v="5"/>
    <s v="CUST942"/>
    <s v="Male"/>
    <n v="51"/>
    <x v="1"/>
    <n v="3"/>
    <n v="500"/>
    <n v="1500"/>
    <n v="1500"/>
    <n v="2023"/>
  </r>
  <r>
    <n v="943"/>
    <d v="2023-10-16T00:00:00"/>
    <x v="7"/>
    <s v="CUST943"/>
    <s v="Female"/>
    <n v="57"/>
    <x v="1"/>
    <n v="4"/>
    <n v="300"/>
    <n v="1200"/>
    <n v="1200"/>
    <n v="2023"/>
  </r>
  <r>
    <n v="944"/>
    <d v="2023-06-05T00:00:00"/>
    <x v="10"/>
    <s v="CUST944"/>
    <s v="Male"/>
    <n v="44"/>
    <x v="1"/>
    <n v="2"/>
    <n v="25"/>
    <n v="50"/>
    <n v="50"/>
    <n v="2023"/>
  </r>
  <r>
    <n v="945"/>
    <d v="2023-02-13T00:00:00"/>
    <x v="1"/>
    <s v="CUST945"/>
    <s v="Male"/>
    <n v="30"/>
    <x v="0"/>
    <n v="1"/>
    <n v="25"/>
    <n v="25"/>
    <n v="25"/>
    <n v="2023"/>
  </r>
  <r>
    <n v="946"/>
    <d v="2023-05-08T00:00:00"/>
    <x v="3"/>
    <s v="CUST946"/>
    <s v="Male"/>
    <n v="62"/>
    <x v="2"/>
    <n v="4"/>
    <n v="500"/>
    <n v="2000"/>
    <n v="2000"/>
    <n v="2023"/>
  </r>
  <r>
    <n v="947"/>
    <d v="2023-03-02T00:00:00"/>
    <x v="5"/>
    <s v="CUST947"/>
    <s v="Male"/>
    <n v="50"/>
    <x v="0"/>
    <n v="1"/>
    <n v="300"/>
    <n v="300"/>
    <n v="300"/>
    <n v="2023"/>
  </r>
  <r>
    <n v="948"/>
    <d v="2023-10-13T00:00:00"/>
    <x v="7"/>
    <s v="CUST948"/>
    <s v="Female"/>
    <n v="23"/>
    <x v="2"/>
    <n v="3"/>
    <n v="25"/>
    <n v="75"/>
    <n v="75"/>
    <n v="2023"/>
  </r>
  <r>
    <n v="949"/>
    <d v="2023-08-02T00:00:00"/>
    <x v="8"/>
    <s v="CUST949"/>
    <s v="Female"/>
    <n v="41"/>
    <x v="2"/>
    <n v="2"/>
    <n v="25"/>
    <n v="50"/>
    <n v="50"/>
    <n v="2023"/>
  </r>
  <r>
    <n v="950"/>
    <d v="2023-11-07T00:00:00"/>
    <x v="0"/>
    <s v="CUST950"/>
    <s v="Male"/>
    <n v="36"/>
    <x v="1"/>
    <n v="3"/>
    <n v="300"/>
    <n v="900"/>
    <n v="900"/>
    <n v="2023"/>
  </r>
  <r>
    <n v="951"/>
    <d v="2023-11-02T00:00:00"/>
    <x v="0"/>
    <s v="CUST951"/>
    <s v="Male"/>
    <n v="33"/>
    <x v="0"/>
    <n v="2"/>
    <n v="50"/>
    <n v="100"/>
    <n v="100"/>
    <n v="2023"/>
  </r>
  <r>
    <n v="952"/>
    <d v="2023-11-13T00:00:00"/>
    <x v="0"/>
    <s v="CUST952"/>
    <s v="Female"/>
    <n v="57"/>
    <x v="1"/>
    <n v="1"/>
    <n v="25"/>
    <n v="25"/>
    <n v="25"/>
    <n v="2023"/>
  </r>
  <r>
    <n v="953"/>
    <d v="2023-04-26T00:00:00"/>
    <x v="4"/>
    <s v="CUST953"/>
    <s v="Male"/>
    <n v="45"/>
    <x v="0"/>
    <n v="3"/>
    <n v="30"/>
    <n v="90"/>
    <n v="90"/>
    <n v="2023"/>
  </r>
  <r>
    <n v="954"/>
    <d v="2023-09-25T00:00:00"/>
    <x v="9"/>
    <s v="CUST954"/>
    <s v="Female"/>
    <n v="50"/>
    <x v="2"/>
    <n v="3"/>
    <n v="300"/>
    <n v="900"/>
    <n v="900"/>
    <n v="2023"/>
  </r>
  <r>
    <n v="955"/>
    <d v="2023-07-14T00:00:00"/>
    <x v="11"/>
    <s v="CUST955"/>
    <s v="Male"/>
    <n v="58"/>
    <x v="1"/>
    <n v="1"/>
    <n v="25"/>
    <n v="25"/>
    <n v="25"/>
    <n v="2023"/>
  </r>
  <r>
    <n v="956"/>
    <d v="2023-08-19T00:00:00"/>
    <x v="8"/>
    <s v="CUST956"/>
    <s v="Male"/>
    <n v="30"/>
    <x v="1"/>
    <n v="3"/>
    <n v="500"/>
    <n v="1500"/>
    <n v="1500"/>
    <n v="2023"/>
  </r>
  <r>
    <n v="957"/>
    <d v="2023-08-15T00:00:00"/>
    <x v="8"/>
    <s v="CUST957"/>
    <s v="Female"/>
    <n v="60"/>
    <x v="2"/>
    <n v="4"/>
    <n v="30"/>
    <n v="120"/>
    <n v="120"/>
    <n v="2023"/>
  </r>
  <r>
    <n v="958"/>
    <d v="2023-06-02T00:00:00"/>
    <x v="10"/>
    <s v="CUST958"/>
    <s v="Male"/>
    <n v="62"/>
    <x v="2"/>
    <n v="2"/>
    <n v="25"/>
    <n v="50"/>
    <n v="50"/>
    <n v="2023"/>
  </r>
  <r>
    <n v="959"/>
    <d v="2023-10-29T00:00:00"/>
    <x v="7"/>
    <s v="CUST959"/>
    <s v="Female"/>
    <n v="42"/>
    <x v="2"/>
    <n v="2"/>
    <n v="30"/>
    <n v="60"/>
    <n v="60"/>
    <n v="2023"/>
  </r>
  <r>
    <n v="960"/>
    <d v="2023-08-08T00:00:00"/>
    <x v="8"/>
    <s v="CUST960"/>
    <s v="Male"/>
    <n v="59"/>
    <x v="1"/>
    <n v="2"/>
    <n v="30"/>
    <n v="60"/>
    <n v="60"/>
    <n v="2023"/>
  </r>
  <r>
    <n v="961"/>
    <d v="2023-06-06T00:00:00"/>
    <x v="10"/>
    <s v="CUST961"/>
    <s v="Male"/>
    <n v="53"/>
    <x v="0"/>
    <n v="4"/>
    <n v="50"/>
    <n v="200"/>
    <n v="200"/>
    <n v="2023"/>
  </r>
  <r>
    <n v="962"/>
    <d v="2023-10-19T00:00:00"/>
    <x v="7"/>
    <s v="CUST962"/>
    <s v="Male"/>
    <n v="44"/>
    <x v="1"/>
    <n v="2"/>
    <n v="30"/>
    <n v="60"/>
    <n v="60"/>
    <n v="2023"/>
  </r>
  <r>
    <n v="963"/>
    <d v="2023-11-14T00:00:00"/>
    <x v="0"/>
    <s v="CUST963"/>
    <s v="Female"/>
    <n v="55"/>
    <x v="0"/>
    <n v="1"/>
    <n v="50"/>
    <n v="50"/>
    <n v="50"/>
    <n v="2023"/>
  </r>
  <r>
    <n v="964"/>
    <d v="2023-01-31T00:00:00"/>
    <x v="2"/>
    <s v="CUST964"/>
    <s v="Male"/>
    <n v="24"/>
    <x v="1"/>
    <n v="3"/>
    <n v="300"/>
    <n v="900"/>
    <n v="900"/>
    <n v="2023"/>
  </r>
  <r>
    <n v="965"/>
    <d v="2023-11-09T00:00:00"/>
    <x v="0"/>
    <s v="CUST965"/>
    <s v="Male"/>
    <n v="22"/>
    <x v="1"/>
    <n v="4"/>
    <n v="50"/>
    <n v="200"/>
    <n v="200"/>
    <n v="2023"/>
  </r>
  <r>
    <n v="966"/>
    <d v="2023-02-20T00:00:00"/>
    <x v="1"/>
    <s v="CUST966"/>
    <s v="Male"/>
    <n v="60"/>
    <x v="2"/>
    <n v="2"/>
    <n v="500"/>
    <n v="1000"/>
    <n v="1000"/>
    <n v="2023"/>
  </r>
  <r>
    <n v="967"/>
    <d v="2023-04-17T00:00:00"/>
    <x v="4"/>
    <s v="CUST967"/>
    <s v="Male"/>
    <n v="62"/>
    <x v="0"/>
    <n v="1"/>
    <n v="25"/>
    <n v="25"/>
    <n v="25"/>
    <n v="2023"/>
  </r>
  <r>
    <n v="968"/>
    <d v="2023-11-17T00:00:00"/>
    <x v="0"/>
    <s v="CUST968"/>
    <s v="Female"/>
    <n v="48"/>
    <x v="1"/>
    <n v="3"/>
    <n v="300"/>
    <n v="900"/>
    <n v="900"/>
    <n v="2023"/>
  </r>
  <r>
    <n v="969"/>
    <d v="2023-04-19T00:00:00"/>
    <x v="4"/>
    <s v="CUST969"/>
    <s v="Female"/>
    <n v="40"/>
    <x v="1"/>
    <n v="3"/>
    <n v="300"/>
    <n v="900"/>
    <n v="900"/>
    <n v="2023"/>
  </r>
  <r>
    <n v="970"/>
    <d v="2023-05-16T00:00:00"/>
    <x v="3"/>
    <s v="CUST970"/>
    <s v="Male"/>
    <n v="59"/>
    <x v="2"/>
    <n v="4"/>
    <n v="500"/>
    <n v="2000"/>
    <n v="2000"/>
    <n v="2023"/>
  </r>
  <r>
    <n v="971"/>
    <d v="2023-12-05T00:00:00"/>
    <x v="6"/>
    <s v="CUST971"/>
    <s v="Female"/>
    <n v="27"/>
    <x v="2"/>
    <n v="4"/>
    <n v="50"/>
    <n v="200"/>
    <n v="200"/>
    <n v="2023"/>
  </r>
  <r>
    <n v="972"/>
    <d v="2023-02-11T00:00:00"/>
    <x v="1"/>
    <s v="CUST972"/>
    <s v="Male"/>
    <n v="49"/>
    <x v="0"/>
    <n v="4"/>
    <n v="25"/>
    <n v="100"/>
    <n v="100"/>
    <n v="2023"/>
  </r>
  <r>
    <n v="973"/>
    <d v="2023-03-22T00:00:00"/>
    <x v="5"/>
    <s v="CUST973"/>
    <s v="Male"/>
    <n v="60"/>
    <x v="1"/>
    <n v="1"/>
    <n v="50"/>
    <n v="50"/>
    <n v="50"/>
    <n v="2023"/>
  </r>
  <r>
    <n v="974"/>
    <d v="2023-05-03T00:00:00"/>
    <x v="3"/>
    <s v="CUST974"/>
    <s v="Male"/>
    <n v="47"/>
    <x v="0"/>
    <n v="1"/>
    <n v="30"/>
    <n v="30"/>
    <n v="30"/>
    <n v="2023"/>
  </r>
  <r>
    <n v="975"/>
    <d v="2023-03-30T00:00:00"/>
    <x v="5"/>
    <s v="CUST975"/>
    <s v="Female"/>
    <n v="56"/>
    <x v="1"/>
    <n v="4"/>
    <n v="50"/>
    <n v="200"/>
    <n v="200"/>
    <n v="2023"/>
  </r>
  <r>
    <n v="976"/>
    <d v="2023-10-10T00:00:00"/>
    <x v="7"/>
    <s v="CUST976"/>
    <s v="Female"/>
    <n v="48"/>
    <x v="0"/>
    <n v="2"/>
    <n v="300"/>
    <n v="600"/>
    <n v="600"/>
    <n v="2023"/>
  </r>
  <r>
    <n v="977"/>
    <d v="2023-02-08T00:00:00"/>
    <x v="1"/>
    <s v="CUST977"/>
    <s v="Female"/>
    <n v="35"/>
    <x v="2"/>
    <n v="3"/>
    <n v="25"/>
    <n v="75"/>
    <n v="75"/>
    <n v="2023"/>
  </r>
  <r>
    <n v="978"/>
    <d v="2023-03-22T00:00:00"/>
    <x v="5"/>
    <s v="CUST978"/>
    <s v="Female"/>
    <n v="53"/>
    <x v="1"/>
    <n v="3"/>
    <n v="50"/>
    <n v="150"/>
    <n v="150"/>
    <n v="2023"/>
  </r>
  <r>
    <n v="979"/>
    <d v="2023-01-02T00:00:00"/>
    <x v="2"/>
    <s v="CUST979"/>
    <s v="Female"/>
    <n v="19"/>
    <x v="0"/>
    <n v="1"/>
    <n v="25"/>
    <n v="25"/>
    <n v="25"/>
    <n v="2023"/>
  </r>
  <r>
    <n v="980"/>
    <d v="2023-07-29T00:00:00"/>
    <x v="11"/>
    <s v="CUST980"/>
    <s v="Female"/>
    <n v="31"/>
    <x v="2"/>
    <n v="3"/>
    <n v="25"/>
    <n v="75"/>
    <n v="75"/>
    <n v="2023"/>
  </r>
  <r>
    <n v="981"/>
    <d v="2023-08-19T00:00:00"/>
    <x v="8"/>
    <s v="CUST981"/>
    <s v="Female"/>
    <n v="30"/>
    <x v="2"/>
    <n v="2"/>
    <n v="30"/>
    <n v="60"/>
    <n v="60"/>
    <n v="2023"/>
  </r>
  <r>
    <n v="982"/>
    <d v="2023-12-19T00:00:00"/>
    <x v="6"/>
    <s v="CUST982"/>
    <s v="Female"/>
    <n v="46"/>
    <x v="0"/>
    <n v="3"/>
    <n v="30"/>
    <n v="90"/>
    <n v="90"/>
    <n v="2023"/>
  </r>
  <r>
    <n v="983"/>
    <d v="2023-11-01T00:00:00"/>
    <x v="0"/>
    <s v="CUST983"/>
    <s v="Female"/>
    <n v="29"/>
    <x v="1"/>
    <n v="1"/>
    <n v="300"/>
    <n v="300"/>
    <n v="300"/>
    <n v="2023"/>
  </r>
  <r>
    <n v="984"/>
    <d v="2023-08-29T00:00:00"/>
    <x v="8"/>
    <s v="CUST984"/>
    <s v="Male"/>
    <n v="56"/>
    <x v="1"/>
    <n v="1"/>
    <n v="500"/>
    <n v="500"/>
    <n v="500"/>
    <n v="2023"/>
  </r>
  <r>
    <n v="985"/>
    <d v="2023-05-30T00:00:00"/>
    <x v="3"/>
    <s v="CUST985"/>
    <s v="Female"/>
    <n v="19"/>
    <x v="2"/>
    <n v="2"/>
    <n v="25"/>
    <n v="50"/>
    <n v="50"/>
    <n v="2023"/>
  </r>
  <r>
    <n v="986"/>
    <d v="2023-01-17T00:00:00"/>
    <x v="2"/>
    <s v="CUST986"/>
    <s v="Female"/>
    <n v="49"/>
    <x v="1"/>
    <n v="2"/>
    <n v="500"/>
    <n v="1000"/>
    <n v="1000"/>
    <n v="2023"/>
  </r>
  <r>
    <n v="987"/>
    <d v="2023-04-29T00:00:00"/>
    <x v="4"/>
    <s v="CUST987"/>
    <s v="Female"/>
    <n v="30"/>
    <x v="1"/>
    <n v="3"/>
    <n v="300"/>
    <n v="900"/>
    <n v="900"/>
    <n v="2023"/>
  </r>
  <r>
    <n v="988"/>
    <d v="2023-05-28T00:00:00"/>
    <x v="3"/>
    <s v="CUST988"/>
    <s v="Female"/>
    <n v="63"/>
    <x v="1"/>
    <n v="3"/>
    <n v="25"/>
    <n v="75"/>
    <n v="75"/>
    <n v="2023"/>
  </r>
  <r>
    <n v="989"/>
    <d v="2023-12-28T00:00:00"/>
    <x v="6"/>
    <s v="CUST989"/>
    <s v="Female"/>
    <n v="44"/>
    <x v="2"/>
    <n v="1"/>
    <n v="25"/>
    <n v="25"/>
    <n v="25"/>
    <n v="2023"/>
  </r>
  <r>
    <n v="990"/>
    <d v="2023-05-25T00:00:00"/>
    <x v="3"/>
    <s v="CUST990"/>
    <s v="Female"/>
    <n v="58"/>
    <x v="0"/>
    <n v="2"/>
    <n v="500"/>
    <n v="1000"/>
    <n v="1000"/>
    <n v="2023"/>
  </r>
  <r>
    <n v="991"/>
    <d v="2023-12-26T00:00:00"/>
    <x v="6"/>
    <s v="CUST991"/>
    <s v="Female"/>
    <n v="34"/>
    <x v="1"/>
    <n v="2"/>
    <n v="50"/>
    <n v="100"/>
    <n v="100"/>
    <n v="2023"/>
  </r>
  <r>
    <n v="992"/>
    <d v="2023-08-21T00:00:00"/>
    <x v="8"/>
    <s v="CUST992"/>
    <s v="Female"/>
    <n v="57"/>
    <x v="2"/>
    <n v="2"/>
    <n v="30"/>
    <n v="60"/>
    <n v="60"/>
    <n v="2023"/>
  </r>
  <r>
    <n v="993"/>
    <d v="2023-02-06T00:00:00"/>
    <x v="1"/>
    <s v="CUST993"/>
    <s v="Female"/>
    <n v="48"/>
    <x v="2"/>
    <n v="3"/>
    <n v="50"/>
    <n v="150"/>
    <n v="150"/>
    <n v="2023"/>
  </r>
  <r>
    <n v="994"/>
    <d v="2023-12-18T00:00:00"/>
    <x v="6"/>
    <s v="CUST994"/>
    <s v="Female"/>
    <n v="51"/>
    <x v="0"/>
    <n v="2"/>
    <n v="500"/>
    <n v="1000"/>
    <n v="1000"/>
    <n v="2023"/>
  </r>
  <r>
    <n v="995"/>
    <d v="2023-04-30T00:00:00"/>
    <x v="4"/>
    <s v="CUST995"/>
    <s v="Female"/>
    <n v="41"/>
    <x v="1"/>
    <n v="1"/>
    <n v="30"/>
    <n v="30"/>
    <n v="30"/>
    <n v="2023"/>
  </r>
  <r>
    <n v="996"/>
    <d v="2023-05-16T00:00:00"/>
    <x v="3"/>
    <s v="CUST996"/>
    <s v="Male"/>
    <n v="62"/>
    <x v="1"/>
    <n v="1"/>
    <n v="50"/>
    <n v="50"/>
    <n v="50"/>
    <n v="2023"/>
  </r>
  <r>
    <n v="997"/>
    <d v="2023-11-17T00:00:00"/>
    <x v="0"/>
    <s v="CUST997"/>
    <s v="Male"/>
    <n v="52"/>
    <x v="0"/>
    <n v="3"/>
    <n v="30"/>
    <n v="90"/>
    <n v="90"/>
    <n v="2023"/>
  </r>
  <r>
    <n v="998"/>
    <d v="2023-10-29T00:00:00"/>
    <x v="7"/>
    <s v="CUST998"/>
    <s v="Female"/>
    <n v="23"/>
    <x v="0"/>
    <n v="4"/>
    <n v="25"/>
    <n v="100"/>
    <n v="100"/>
    <n v="2023"/>
  </r>
  <r>
    <n v="999"/>
    <d v="2023-12-05T00:00:00"/>
    <x v="6"/>
    <s v="CUST999"/>
    <s v="Female"/>
    <n v="36"/>
    <x v="2"/>
    <n v="3"/>
    <n v="50"/>
    <n v="150"/>
    <n v="150"/>
    <n v="2023"/>
  </r>
  <r>
    <n v="1000"/>
    <d v="2023-04-12T00:00:00"/>
    <x v="4"/>
    <s v="CUST1000"/>
    <s v="Male"/>
    <n v="47"/>
    <x v="2"/>
    <n v="4"/>
    <n v="30"/>
    <n v="120"/>
    <n v="120"/>
    <n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1CE7CB-9766-40C9-AE89-88A2DD055A37}"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12">
    <pivotField showAll="0"/>
    <pivotField numFmtId="14"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s>
  <rowFields count="1">
    <field x="6"/>
  </rowFields>
  <rowItems count="4">
    <i>
      <x/>
    </i>
    <i>
      <x v="1"/>
    </i>
    <i>
      <x v="2"/>
    </i>
    <i t="grand">
      <x/>
    </i>
  </rowItems>
  <colItems count="1">
    <i/>
  </colItems>
  <dataFields count="1">
    <dataField name="Sum of Total Amount" fld="9" baseField="0" baseItem="0" numFmtId="44"/>
  </dataFields>
  <formats count="2">
    <format dxfId="8">
      <pivotArea dataOnly="0" labelOnly="1" outline="0" axis="axisValues"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9D0202-699D-4085-AD42-7DF08D90EF1B}"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6" firstHeaderRow="1" firstDataRow="1" firstDataCol="1"/>
  <pivotFields count="12">
    <pivotField showAll="0"/>
    <pivotField numFmtId="14" showAll="0"/>
    <pivotField axis="axisRow" showAll="0">
      <items count="13">
        <item x="2"/>
        <item x="1"/>
        <item x="5"/>
        <item x="4"/>
        <item x="3"/>
        <item x="10"/>
        <item x="11"/>
        <item x="8"/>
        <item x="9"/>
        <item x="7"/>
        <item x="0"/>
        <item x="6"/>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Monthly total Sale" fld="9" baseField="2" baseItem="5"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DF50F8-0FC1-4FBD-8127-B201814CC1E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3:B2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Monthly Total Sales" fld="1" baseField="0" baseItem="3" numFmtId="165"/>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Monthly Total Sales"/>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2.1_Retail_Sales_Analysis.xlsx!cleaned_transactions">
        <x15:activeTabTopLevelEntity name="[cleaned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FCC7B3-2AE1-4500-AB8E-B4A65952C377}"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B11"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v="1"/>
    </i>
    <i>
      <x/>
    </i>
    <i t="grand">
      <x/>
    </i>
  </rowItems>
  <colItems count="1">
    <i/>
  </colItems>
  <dataFields count="1">
    <dataField name="Sum of Total Amount" fld="1" baseField="0" baseItem="2" numFmtId="165"/>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2.1_Retail_Sales_Analysis.xlsx!cleaned_transactions">
        <x15:activeTabTopLevelEntity name="[cleaned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460617-8365-414D-857C-452CDB4392A1}"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12">
    <pivotField dataField="1" showAll="0"/>
    <pivotField numFmtId="14" showAll="0"/>
    <pivotField showAll="0"/>
    <pivotField showAll="0"/>
    <pivotField showAll="0"/>
    <pivotField showAll="0"/>
    <pivotField showAll="0"/>
    <pivotField showAll="0"/>
    <pivotField showAll="0"/>
    <pivotField dataField="1" showAll="0"/>
    <pivotField showAll="0"/>
    <pivotField showAll="0"/>
  </pivotFields>
  <rowItems count="1">
    <i/>
  </rowItems>
  <colFields count="1">
    <field x="-2"/>
  </colFields>
  <colItems count="3">
    <i>
      <x/>
    </i>
    <i i="1">
      <x v="1"/>
    </i>
    <i i="2">
      <x v="2"/>
    </i>
  </colItems>
  <dataFields count="3">
    <dataField name="Sum of Total Amount" fld="9" baseField="0" baseItem="0" numFmtId="44"/>
    <dataField name="Count of Transaction ID" fld="0" subtotal="count" baseField="0" baseItem="1"/>
    <dataField name="Average Order Value" fld="9" subtotal="average" baseField="0" baseItem="1" numFmtId="44"/>
  </dataFields>
  <formats count="2">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281E5A-8801-4DCD-9B4F-87D34760CDB3}" autoFormatId="16" applyNumberFormats="0" applyBorderFormats="0" applyFontFormats="0" applyPatternFormats="0" applyAlignmentFormats="0" applyWidthHeightFormats="0">
  <queryTableRefresh nextId="13">
    <queryTableFields count="12">
      <queryTableField id="1" name="Transaction ID" tableColumnId="1"/>
      <queryTableField id="2" name="Date" tableColumnId="2"/>
      <queryTableField id="3" name="Month Name" tableColumnId="3"/>
      <queryTableField id="4" name="Customer ID" tableColumnId="4"/>
      <queryTableField id="5" name="Gender" tableColumnId="5"/>
      <queryTableField id="6" name="Age" tableColumnId="6"/>
      <queryTableField id="7" name="Product Category" tableColumnId="7"/>
      <queryTableField id="8" name="Quantity Per Product" tableColumnId="8"/>
      <queryTableField id="9" name="Price per Unit" tableColumnId="9"/>
      <queryTableField id="10" name="Total Amount" tableColumnId="10"/>
      <queryTableField id="11" name="Total value validationCustom" tableColumnId="11"/>
      <queryTableField id="12" name="Date - Cop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615FF32-E5C2-4FED-8FA7-D8F60EEB3DC3}" sourceName="Product Category">
  <pivotTables>
    <pivotTable tabId="5" name="PivotTable2"/>
  </pivotTables>
  <data>
    <tabular pivotCacheId="213050503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C852EFC7-C1FD-4F00-B0CD-083ABDC76E63}" sourceName="[cleaned_transactions].[Product Category]">
  <pivotTables>
    <pivotTable tabId="6" name="PivotTable5"/>
  </pivotTables>
  <data>
    <olap pivotCacheId="58881574">
      <levels count="2">
        <level uniqueName="[cleaned_transactions].[Product Category].[(All)]" sourceCaption="(All)" count="0"/>
        <level uniqueName="[cleaned_transactions].[Product Category].[Product Category]" sourceCaption="Product Category" count="3">
          <ranges>
            <range startItem="0">
              <i n="[cleaned_transactions].[Product Category].&amp;[Beauty]" c="Beauty"/>
              <i n="[cleaned_transactions].[Product Category].&amp;[Clothing]" c="Clothing"/>
              <i n="[cleaned_transactions].[Product Category].&amp;[Electronics]" c="Electronics"/>
            </range>
          </ranges>
        </level>
      </levels>
      <selections count="1">
        <selection n="[cleaned_transaction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1F262B94-5535-44BD-A5B3-0E1D1EBD5EA0}"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D6A2B9CF-7040-404E-8D6A-1B6BEFDBD3A4}" cache="Slicer_Product_Category1" caption="Product 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214362-23F5-4489-946B-3115B4E13B1B}" name="cleaned_transactions" displayName="cleaned_transactions" ref="A1:L1001" tableType="queryTable" totalsRowShown="0">
  <autoFilter ref="A1:L1001" xr:uid="{4B214362-23F5-4489-946B-3115B4E13B1B}"/>
  <tableColumns count="12">
    <tableColumn id="1" xr3:uid="{16CB4DEB-5F47-4C8C-BD34-0FBB1C6011A7}" uniqueName="1" name="Transaction ID" queryTableFieldId="1"/>
    <tableColumn id="2" xr3:uid="{071DA582-3485-42DC-99D2-D5D631AC6C4F}" uniqueName="2" name="Date" queryTableFieldId="2" dataDxfId="4"/>
    <tableColumn id="3" xr3:uid="{9A712409-6658-4B7B-BC0F-0AA5FE1DD347}" uniqueName="3" name="Month Name" queryTableFieldId="3" dataDxfId="3"/>
    <tableColumn id="4" xr3:uid="{FE01C78A-71DE-478E-9283-1111027A7BA5}" uniqueName="4" name="Customer ID" queryTableFieldId="4" dataDxfId="2"/>
    <tableColumn id="5" xr3:uid="{472BAD31-6B3F-4FBC-9B07-1129B31FB359}" uniqueName="5" name="Gender" queryTableFieldId="5" dataDxfId="1"/>
    <tableColumn id="6" xr3:uid="{F263C274-3E37-4039-A669-B26CCFB57AE7}" uniqueName="6" name="Age" queryTableFieldId="6"/>
    <tableColumn id="7" xr3:uid="{AD486F99-4CC6-4F92-B839-AD1B1FDB9737}" uniqueName="7" name="Product Category" queryTableFieldId="7" dataDxfId="0"/>
    <tableColumn id="8" xr3:uid="{1527F937-7A71-4E26-B105-71C64DF47492}" uniqueName="8" name="Quantity Per Product" queryTableFieldId="8"/>
    <tableColumn id="9" xr3:uid="{D3A036AC-4023-4FCC-90F8-8806FF260141}" uniqueName="9" name="Price per Unit" queryTableFieldId="9"/>
    <tableColumn id="10" xr3:uid="{BA380853-C2A7-40C8-AA47-9137A8BF1865}" uniqueName="10" name="Total Amount" queryTableFieldId="10"/>
    <tableColumn id="11" xr3:uid="{8B405932-DCCE-431C-B199-D4475D145C1C}" uniqueName="11" name="Total value validationCustom" queryTableFieldId="11"/>
    <tableColumn id="12" xr3:uid="{21D5FF67-6908-4F49-BD0E-F93668C5C635}" uniqueName="12" name="Date - Copy"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D02BE-0156-4DD4-AA6F-4F323FE54EF0}">
  <dimension ref="A3:B7"/>
  <sheetViews>
    <sheetView workbookViewId="0">
      <selection activeCell="A5" sqref="A5"/>
    </sheetView>
  </sheetViews>
  <sheetFormatPr defaultRowHeight="14.5" x14ac:dyDescent="0.35"/>
  <cols>
    <col min="1" max="1" width="12.36328125" bestFit="1" customWidth="1"/>
    <col min="2" max="2" width="20.08984375" bestFit="1" customWidth="1"/>
  </cols>
  <sheetData>
    <row r="3" spans="1:2" x14ac:dyDescent="0.35">
      <c r="A3" s="3" t="s">
        <v>1029</v>
      </c>
      <c r="B3" s="6" t="s">
        <v>1031</v>
      </c>
    </row>
    <row r="4" spans="1:2" x14ac:dyDescent="0.35">
      <c r="A4" s="4" t="s">
        <v>15</v>
      </c>
      <c r="B4" s="5">
        <v>143515</v>
      </c>
    </row>
    <row r="5" spans="1:2" x14ac:dyDescent="0.35">
      <c r="A5" s="4" t="s">
        <v>19</v>
      </c>
      <c r="B5" s="5">
        <v>155580</v>
      </c>
    </row>
    <row r="6" spans="1:2" x14ac:dyDescent="0.35">
      <c r="A6" s="4" t="s">
        <v>22</v>
      </c>
      <c r="B6" s="5">
        <v>156905</v>
      </c>
    </row>
    <row r="7" spans="1:2" x14ac:dyDescent="0.35">
      <c r="A7" s="4" t="s">
        <v>1030</v>
      </c>
      <c r="B7" s="5">
        <v>456000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E25CC-88C3-42DA-9884-04CB892D8FE2}">
  <dimension ref="A3:B16"/>
  <sheetViews>
    <sheetView workbookViewId="0">
      <selection activeCell="F23" sqref="F23"/>
    </sheetView>
  </sheetViews>
  <sheetFormatPr defaultRowHeight="14.5" x14ac:dyDescent="0.35"/>
  <cols>
    <col min="1" max="1" width="12.36328125" bestFit="1" customWidth="1"/>
    <col min="2" max="2" width="16.26953125" bestFit="1" customWidth="1"/>
  </cols>
  <sheetData>
    <row r="3" spans="1:2" x14ac:dyDescent="0.35">
      <c r="A3" s="3" t="s">
        <v>1029</v>
      </c>
      <c r="B3" t="s">
        <v>1032</v>
      </c>
    </row>
    <row r="4" spans="1:2" x14ac:dyDescent="0.35">
      <c r="A4" s="4" t="s">
        <v>20</v>
      </c>
      <c r="B4" s="13">
        <v>36980</v>
      </c>
    </row>
    <row r="5" spans="1:2" x14ac:dyDescent="0.35">
      <c r="A5" s="4" t="s">
        <v>16</v>
      </c>
      <c r="B5" s="13">
        <v>44060</v>
      </c>
    </row>
    <row r="6" spans="1:2" x14ac:dyDescent="0.35">
      <c r="A6" s="4" t="s">
        <v>28</v>
      </c>
      <c r="B6" s="13">
        <v>28990</v>
      </c>
    </row>
    <row r="7" spans="1:2" x14ac:dyDescent="0.35">
      <c r="A7" s="4" t="s">
        <v>26</v>
      </c>
      <c r="B7" s="13">
        <v>33870</v>
      </c>
    </row>
    <row r="8" spans="1:2" x14ac:dyDescent="0.35">
      <c r="A8" s="4" t="s">
        <v>23</v>
      </c>
      <c r="B8" s="13">
        <v>53150</v>
      </c>
    </row>
    <row r="9" spans="1:2" x14ac:dyDescent="0.35">
      <c r="A9" s="4" t="s">
        <v>62</v>
      </c>
      <c r="B9" s="13">
        <v>36715</v>
      </c>
    </row>
    <row r="10" spans="1:2" x14ac:dyDescent="0.35">
      <c r="A10" s="4" t="s">
        <v>70</v>
      </c>
      <c r="B10" s="13">
        <v>35465</v>
      </c>
    </row>
    <row r="11" spans="1:2" x14ac:dyDescent="0.35">
      <c r="A11" s="4" t="s">
        <v>37</v>
      </c>
      <c r="B11" s="13">
        <v>36960</v>
      </c>
    </row>
    <row r="12" spans="1:2" x14ac:dyDescent="0.35">
      <c r="A12" s="4" t="s">
        <v>44</v>
      </c>
      <c r="B12" s="13">
        <v>23620</v>
      </c>
    </row>
    <row r="13" spans="1:2" x14ac:dyDescent="0.35">
      <c r="A13" s="4" t="s">
        <v>33</v>
      </c>
      <c r="B13" s="13">
        <v>46580</v>
      </c>
    </row>
    <row r="14" spans="1:2" x14ac:dyDescent="0.35">
      <c r="A14" s="4" t="s">
        <v>12</v>
      </c>
      <c r="B14" s="13">
        <v>34920</v>
      </c>
    </row>
    <row r="15" spans="1:2" x14ac:dyDescent="0.35">
      <c r="A15" s="4" t="s">
        <v>31</v>
      </c>
      <c r="B15" s="13">
        <v>44690</v>
      </c>
    </row>
    <row r="16" spans="1:2" x14ac:dyDescent="0.35">
      <c r="A16" s="4" t="s">
        <v>1030</v>
      </c>
      <c r="B16" s="13">
        <v>456000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2F4CF-2FBD-4D74-9B95-0B8A0530A5FA}">
  <dimension ref="A3:C26"/>
  <sheetViews>
    <sheetView workbookViewId="0">
      <selection activeCell="B17" sqref="B17"/>
    </sheetView>
  </sheetViews>
  <sheetFormatPr defaultRowHeight="14.5" x14ac:dyDescent="0.35"/>
  <cols>
    <col min="1" max="1" width="18.81640625" bestFit="1" customWidth="1"/>
    <col min="2" max="2" width="20.81640625" bestFit="1" customWidth="1"/>
    <col min="3" max="3" width="18.26953125" bestFit="1" customWidth="1"/>
  </cols>
  <sheetData>
    <row r="3" spans="1:3" x14ac:dyDescent="0.35">
      <c r="A3" t="s">
        <v>1031</v>
      </c>
      <c r="B3" t="s">
        <v>1038</v>
      </c>
      <c r="C3" t="s">
        <v>1035</v>
      </c>
    </row>
    <row r="4" spans="1:3" x14ac:dyDescent="0.35">
      <c r="A4" s="5">
        <v>456000</v>
      </c>
      <c r="B4" s="2">
        <v>1000</v>
      </c>
      <c r="C4" s="5">
        <v>456</v>
      </c>
    </row>
    <row r="7" spans="1:3" x14ac:dyDescent="0.35">
      <c r="A7" s="3" t="s">
        <v>1029</v>
      </c>
      <c r="B7" t="s">
        <v>1031</v>
      </c>
    </row>
    <row r="8" spans="1:3" x14ac:dyDescent="0.35">
      <c r="A8" s="4" t="s">
        <v>22</v>
      </c>
      <c r="B8" s="13">
        <v>156905</v>
      </c>
    </row>
    <row r="9" spans="1:3" x14ac:dyDescent="0.35">
      <c r="A9" s="4" t="s">
        <v>19</v>
      </c>
      <c r="B9" s="13">
        <v>155580</v>
      </c>
    </row>
    <row r="10" spans="1:3" x14ac:dyDescent="0.35">
      <c r="A10" s="4" t="s">
        <v>15</v>
      </c>
      <c r="B10" s="13">
        <v>143515</v>
      </c>
    </row>
    <row r="11" spans="1:3" x14ac:dyDescent="0.35">
      <c r="A11" s="4" t="s">
        <v>1030</v>
      </c>
      <c r="B11" s="13">
        <v>456000</v>
      </c>
    </row>
    <row r="13" spans="1:3" x14ac:dyDescent="0.35">
      <c r="A13" s="3" t="s">
        <v>1029</v>
      </c>
      <c r="B13" t="s">
        <v>1040</v>
      </c>
    </row>
    <row r="14" spans="1:3" x14ac:dyDescent="0.35">
      <c r="A14" s="4" t="s">
        <v>20</v>
      </c>
      <c r="B14" s="13">
        <v>36980</v>
      </c>
    </row>
    <row r="15" spans="1:3" x14ac:dyDescent="0.35">
      <c r="A15" s="4" t="s">
        <v>16</v>
      </c>
      <c r="B15" s="13">
        <v>44060</v>
      </c>
    </row>
    <row r="16" spans="1:3" x14ac:dyDescent="0.35">
      <c r="A16" s="4" t="s">
        <v>28</v>
      </c>
      <c r="B16" s="13">
        <v>28990</v>
      </c>
    </row>
    <row r="17" spans="1:2" x14ac:dyDescent="0.35">
      <c r="A17" s="4" t="s">
        <v>26</v>
      </c>
      <c r="B17" s="13">
        <v>33870</v>
      </c>
    </row>
    <row r="18" spans="1:2" x14ac:dyDescent="0.35">
      <c r="A18" s="4" t="s">
        <v>23</v>
      </c>
      <c r="B18" s="13">
        <v>53150</v>
      </c>
    </row>
    <row r="19" spans="1:2" x14ac:dyDescent="0.35">
      <c r="A19" s="4" t="s">
        <v>62</v>
      </c>
      <c r="B19" s="13">
        <v>36715</v>
      </c>
    </row>
    <row r="20" spans="1:2" x14ac:dyDescent="0.35">
      <c r="A20" s="4" t="s">
        <v>70</v>
      </c>
      <c r="B20" s="13">
        <v>35465</v>
      </c>
    </row>
    <row r="21" spans="1:2" x14ac:dyDescent="0.35">
      <c r="A21" s="4" t="s">
        <v>37</v>
      </c>
      <c r="B21" s="13">
        <v>36960</v>
      </c>
    </row>
    <row r="22" spans="1:2" x14ac:dyDescent="0.35">
      <c r="A22" s="4" t="s">
        <v>44</v>
      </c>
      <c r="B22" s="13">
        <v>23620</v>
      </c>
    </row>
    <row r="23" spans="1:2" x14ac:dyDescent="0.35">
      <c r="A23" s="4" t="s">
        <v>33</v>
      </c>
      <c r="B23" s="13">
        <v>46580</v>
      </c>
    </row>
    <row r="24" spans="1:2" x14ac:dyDescent="0.35">
      <c r="A24" s="4" t="s">
        <v>12</v>
      </c>
      <c r="B24" s="13">
        <v>34920</v>
      </c>
    </row>
    <row r="25" spans="1:2" x14ac:dyDescent="0.35">
      <c r="A25" s="4" t="s">
        <v>31</v>
      </c>
      <c r="B25" s="13">
        <v>44690</v>
      </c>
    </row>
    <row r="26" spans="1:2" x14ac:dyDescent="0.35">
      <c r="A26" s="4" t="s">
        <v>1030</v>
      </c>
      <c r="B26" s="13">
        <v>456000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F3528-22C5-47C2-B862-26F687138A08}">
  <dimension ref="A1:X1120"/>
  <sheetViews>
    <sheetView topLeftCell="C1" workbookViewId="0">
      <selection activeCell="L1" sqref="L1"/>
    </sheetView>
  </sheetViews>
  <sheetFormatPr defaultRowHeight="14.5" x14ac:dyDescent="0.35"/>
  <cols>
    <col min="1" max="1" width="15.26953125" bestFit="1" customWidth="1"/>
    <col min="2" max="2" width="10.453125" bestFit="1" customWidth="1"/>
    <col min="3" max="3" width="14.1796875" bestFit="1" customWidth="1"/>
    <col min="4" max="4" width="13.54296875" bestFit="1" customWidth="1"/>
    <col min="5" max="5" width="9.26953125" bestFit="1" customWidth="1"/>
    <col min="6" max="6" width="6.1796875" bestFit="1" customWidth="1"/>
    <col min="7" max="7" width="17.7265625" bestFit="1" customWidth="1"/>
    <col min="8" max="8" width="21" bestFit="1" customWidth="1"/>
    <col min="9" max="9" width="14.453125" bestFit="1" customWidth="1"/>
    <col min="10" max="10" width="14.6328125" bestFit="1" customWidth="1"/>
    <col min="11" max="11" width="27.81640625" bestFit="1" customWidth="1"/>
    <col min="12" max="12" width="12.8164062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s="1">
        <v>45254</v>
      </c>
      <c r="C2" s="2" t="s">
        <v>12</v>
      </c>
      <c r="D2" s="2" t="s">
        <v>13</v>
      </c>
      <c r="E2" s="2" t="s">
        <v>14</v>
      </c>
      <c r="F2">
        <v>34</v>
      </c>
      <c r="G2" s="2" t="s">
        <v>15</v>
      </c>
      <c r="H2">
        <v>3</v>
      </c>
      <c r="I2">
        <v>50</v>
      </c>
      <c r="J2">
        <v>150</v>
      </c>
      <c r="K2">
        <v>150</v>
      </c>
      <c r="L2">
        <v>2023</v>
      </c>
    </row>
    <row r="3" spans="1:12" x14ac:dyDescent="0.35">
      <c r="A3">
        <v>2</v>
      </c>
      <c r="B3" s="1">
        <v>44984</v>
      </c>
      <c r="C3" s="2" t="s">
        <v>16</v>
      </c>
      <c r="D3" s="2" t="s">
        <v>17</v>
      </c>
      <c r="E3" s="2" t="s">
        <v>18</v>
      </c>
      <c r="F3">
        <v>26</v>
      </c>
      <c r="G3" s="2" t="s">
        <v>19</v>
      </c>
      <c r="H3">
        <v>2</v>
      </c>
      <c r="I3">
        <v>500</v>
      </c>
      <c r="J3">
        <v>1000</v>
      </c>
      <c r="K3">
        <v>1000</v>
      </c>
      <c r="L3">
        <v>2023</v>
      </c>
    </row>
    <row r="4" spans="1:12" x14ac:dyDescent="0.35">
      <c r="A4">
        <v>3</v>
      </c>
      <c r="B4" s="1">
        <v>44939</v>
      </c>
      <c r="C4" s="2" t="s">
        <v>20</v>
      </c>
      <c r="D4" s="2" t="s">
        <v>21</v>
      </c>
      <c r="E4" s="2" t="s">
        <v>14</v>
      </c>
      <c r="F4">
        <v>50</v>
      </c>
      <c r="G4" s="2" t="s">
        <v>22</v>
      </c>
      <c r="H4">
        <v>1</v>
      </c>
      <c r="I4">
        <v>30</v>
      </c>
      <c r="J4">
        <v>30</v>
      </c>
      <c r="K4">
        <v>30</v>
      </c>
      <c r="L4">
        <v>2023</v>
      </c>
    </row>
    <row r="5" spans="1:12" x14ac:dyDescent="0.35">
      <c r="A5">
        <v>4</v>
      </c>
      <c r="B5" s="1">
        <v>45067</v>
      </c>
      <c r="C5" s="2" t="s">
        <v>23</v>
      </c>
      <c r="D5" s="2" t="s">
        <v>24</v>
      </c>
      <c r="E5" s="2" t="s">
        <v>14</v>
      </c>
      <c r="F5">
        <v>37</v>
      </c>
      <c r="G5" s="2" t="s">
        <v>19</v>
      </c>
      <c r="H5">
        <v>1</v>
      </c>
      <c r="I5">
        <v>500</v>
      </c>
      <c r="J5">
        <v>500</v>
      </c>
      <c r="K5">
        <v>500</v>
      </c>
      <c r="L5">
        <v>2023</v>
      </c>
    </row>
    <row r="6" spans="1:12" x14ac:dyDescent="0.35">
      <c r="A6">
        <v>5</v>
      </c>
      <c r="B6" s="1">
        <v>45052</v>
      </c>
      <c r="C6" s="2" t="s">
        <v>23</v>
      </c>
      <c r="D6" s="2" t="s">
        <v>25</v>
      </c>
      <c r="E6" s="2" t="s">
        <v>14</v>
      </c>
      <c r="F6">
        <v>30</v>
      </c>
      <c r="G6" s="2" t="s">
        <v>15</v>
      </c>
      <c r="H6">
        <v>2</v>
      </c>
      <c r="I6">
        <v>50</v>
      </c>
      <c r="J6">
        <v>100</v>
      </c>
      <c r="K6">
        <v>100</v>
      </c>
      <c r="L6">
        <v>2023</v>
      </c>
    </row>
    <row r="7" spans="1:12" x14ac:dyDescent="0.35">
      <c r="A7">
        <v>6</v>
      </c>
      <c r="B7" s="1">
        <v>45041</v>
      </c>
      <c r="C7" s="2" t="s">
        <v>26</v>
      </c>
      <c r="D7" s="2" t="s">
        <v>27</v>
      </c>
      <c r="E7" s="2" t="s">
        <v>18</v>
      </c>
      <c r="F7">
        <v>45</v>
      </c>
      <c r="G7" s="2" t="s">
        <v>15</v>
      </c>
      <c r="H7">
        <v>1</v>
      </c>
      <c r="I7">
        <v>30</v>
      </c>
      <c r="J7">
        <v>30</v>
      </c>
      <c r="K7">
        <v>30</v>
      </c>
      <c r="L7">
        <v>2023</v>
      </c>
    </row>
    <row r="8" spans="1:12" x14ac:dyDescent="0.35">
      <c r="A8">
        <v>7</v>
      </c>
      <c r="B8" s="1">
        <v>44998</v>
      </c>
      <c r="C8" s="2" t="s">
        <v>28</v>
      </c>
      <c r="D8" s="2" t="s">
        <v>29</v>
      </c>
      <c r="E8" s="2" t="s">
        <v>14</v>
      </c>
      <c r="F8">
        <v>46</v>
      </c>
      <c r="G8" s="2" t="s">
        <v>19</v>
      </c>
      <c r="H8">
        <v>2</v>
      </c>
      <c r="I8">
        <v>25</v>
      </c>
      <c r="J8">
        <v>50</v>
      </c>
      <c r="K8">
        <v>50</v>
      </c>
      <c r="L8">
        <v>2023</v>
      </c>
    </row>
    <row r="9" spans="1:12" x14ac:dyDescent="0.35">
      <c r="A9">
        <v>8</v>
      </c>
      <c r="B9" s="1">
        <v>44979</v>
      </c>
      <c r="C9" s="2" t="s">
        <v>16</v>
      </c>
      <c r="D9" s="2" t="s">
        <v>30</v>
      </c>
      <c r="E9" s="2" t="s">
        <v>14</v>
      </c>
      <c r="F9">
        <v>30</v>
      </c>
      <c r="G9" s="2" t="s">
        <v>22</v>
      </c>
      <c r="H9">
        <v>4</v>
      </c>
      <c r="I9">
        <v>25</v>
      </c>
      <c r="J9">
        <v>100</v>
      </c>
      <c r="K9">
        <v>100</v>
      </c>
      <c r="L9">
        <v>2023</v>
      </c>
    </row>
    <row r="10" spans="1:12" x14ac:dyDescent="0.35">
      <c r="A10">
        <v>9</v>
      </c>
      <c r="B10" s="1">
        <v>45273</v>
      </c>
      <c r="C10" s="2" t="s">
        <v>31</v>
      </c>
      <c r="D10" s="2" t="s">
        <v>32</v>
      </c>
      <c r="E10" s="2" t="s">
        <v>14</v>
      </c>
      <c r="F10">
        <v>63</v>
      </c>
      <c r="G10" s="2" t="s">
        <v>22</v>
      </c>
      <c r="H10">
        <v>2</v>
      </c>
      <c r="I10">
        <v>300</v>
      </c>
      <c r="J10">
        <v>600</v>
      </c>
      <c r="K10">
        <v>600</v>
      </c>
      <c r="L10">
        <v>2023</v>
      </c>
    </row>
    <row r="11" spans="1:12" x14ac:dyDescent="0.35">
      <c r="A11">
        <v>10</v>
      </c>
      <c r="B11" s="1">
        <v>45206</v>
      </c>
      <c r="C11" s="2" t="s">
        <v>33</v>
      </c>
      <c r="D11" s="2" t="s">
        <v>34</v>
      </c>
      <c r="E11" s="2" t="s">
        <v>18</v>
      </c>
      <c r="F11">
        <v>52</v>
      </c>
      <c r="G11" s="2" t="s">
        <v>19</v>
      </c>
      <c r="H11">
        <v>4</v>
      </c>
      <c r="I11">
        <v>50</v>
      </c>
      <c r="J11">
        <v>200</v>
      </c>
      <c r="K11">
        <v>200</v>
      </c>
      <c r="L11">
        <v>2023</v>
      </c>
    </row>
    <row r="12" spans="1:12" x14ac:dyDescent="0.35">
      <c r="A12">
        <v>11</v>
      </c>
      <c r="B12" s="1">
        <v>44971</v>
      </c>
      <c r="C12" s="2" t="s">
        <v>16</v>
      </c>
      <c r="D12" s="2" t="s">
        <v>35</v>
      </c>
      <c r="E12" s="2" t="s">
        <v>14</v>
      </c>
      <c r="F12">
        <v>23</v>
      </c>
      <c r="G12" s="2" t="s">
        <v>19</v>
      </c>
      <c r="H12">
        <v>2</v>
      </c>
      <c r="I12">
        <v>50</v>
      </c>
      <c r="J12">
        <v>100</v>
      </c>
      <c r="K12">
        <v>100</v>
      </c>
      <c r="L12">
        <v>2023</v>
      </c>
    </row>
    <row r="13" spans="1:12" x14ac:dyDescent="0.35">
      <c r="A13">
        <v>12</v>
      </c>
      <c r="B13" s="1">
        <v>45229</v>
      </c>
      <c r="C13" s="2" t="s">
        <v>33</v>
      </c>
      <c r="D13" s="2" t="s">
        <v>36</v>
      </c>
      <c r="E13" s="2" t="s">
        <v>14</v>
      </c>
      <c r="F13">
        <v>35</v>
      </c>
      <c r="G13" s="2" t="s">
        <v>15</v>
      </c>
      <c r="H13">
        <v>3</v>
      </c>
      <c r="I13">
        <v>25</v>
      </c>
      <c r="J13">
        <v>75</v>
      </c>
      <c r="K13">
        <v>75</v>
      </c>
      <c r="L13">
        <v>2023</v>
      </c>
    </row>
    <row r="14" spans="1:12" x14ac:dyDescent="0.35">
      <c r="A14">
        <v>13</v>
      </c>
      <c r="B14" s="1">
        <v>45143</v>
      </c>
      <c r="C14" s="2" t="s">
        <v>37</v>
      </c>
      <c r="D14" s="2" t="s">
        <v>38</v>
      </c>
      <c r="E14" s="2" t="s">
        <v>14</v>
      </c>
      <c r="F14">
        <v>22</v>
      </c>
      <c r="G14" s="2" t="s">
        <v>22</v>
      </c>
      <c r="H14">
        <v>3</v>
      </c>
      <c r="I14">
        <v>500</v>
      </c>
      <c r="J14">
        <v>1500</v>
      </c>
      <c r="K14">
        <v>1500</v>
      </c>
      <c r="L14">
        <v>2023</v>
      </c>
    </row>
    <row r="15" spans="1:12" x14ac:dyDescent="0.35">
      <c r="A15">
        <v>14</v>
      </c>
      <c r="B15" s="1">
        <v>44943</v>
      </c>
      <c r="C15" s="2" t="s">
        <v>20</v>
      </c>
      <c r="D15" s="2" t="s">
        <v>39</v>
      </c>
      <c r="E15" s="2" t="s">
        <v>14</v>
      </c>
      <c r="F15">
        <v>64</v>
      </c>
      <c r="G15" s="2" t="s">
        <v>19</v>
      </c>
      <c r="H15">
        <v>4</v>
      </c>
      <c r="I15">
        <v>30</v>
      </c>
      <c r="J15">
        <v>120</v>
      </c>
      <c r="K15">
        <v>120</v>
      </c>
      <c r="L15">
        <v>2023</v>
      </c>
    </row>
    <row r="16" spans="1:12" x14ac:dyDescent="0.35">
      <c r="A16">
        <v>15</v>
      </c>
      <c r="B16" s="1">
        <v>44942</v>
      </c>
      <c r="C16" s="2" t="s">
        <v>20</v>
      </c>
      <c r="D16" s="2" t="s">
        <v>40</v>
      </c>
      <c r="E16" s="2" t="s">
        <v>18</v>
      </c>
      <c r="F16">
        <v>42</v>
      </c>
      <c r="G16" s="2" t="s">
        <v>22</v>
      </c>
      <c r="H16">
        <v>4</v>
      </c>
      <c r="I16">
        <v>500</v>
      </c>
      <c r="J16">
        <v>2000</v>
      </c>
      <c r="K16">
        <v>2000</v>
      </c>
      <c r="L16">
        <v>2023</v>
      </c>
    </row>
    <row r="17" spans="1:12" x14ac:dyDescent="0.35">
      <c r="A17">
        <v>16</v>
      </c>
      <c r="B17" s="1">
        <v>44974</v>
      </c>
      <c r="C17" s="2" t="s">
        <v>16</v>
      </c>
      <c r="D17" s="2" t="s">
        <v>41</v>
      </c>
      <c r="E17" s="2" t="s">
        <v>14</v>
      </c>
      <c r="F17">
        <v>19</v>
      </c>
      <c r="G17" s="2" t="s">
        <v>19</v>
      </c>
      <c r="H17">
        <v>3</v>
      </c>
      <c r="I17">
        <v>500</v>
      </c>
      <c r="J17">
        <v>1500</v>
      </c>
      <c r="K17">
        <v>1500</v>
      </c>
      <c r="L17">
        <v>2023</v>
      </c>
    </row>
    <row r="18" spans="1:12" x14ac:dyDescent="0.35">
      <c r="A18">
        <v>17</v>
      </c>
      <c r="B18" s="1">
        <v>45038</v>
      </c>
      <c r="C18" s="2" t="s">
        <v>26</v>
      </c>
      <c r="D18" s="2" t="s">
        <v>42</v>
      </c>
      <c r="E18" s="2" t="s">
        <v>18</v>
      </c>
      <c r="F18">
        <v>27</v>
      </c>
      <c r="G18" s="2" t="s">
        <v>19</v>
      </c>
      <c r="H18">
        <v>4</v>
      </c>
      <c r="I18">
        <v>25</v>
      </c>
      <c r="J18">
        <v>100</v>
      </c>
      <c r="K18">
        <v>100</v>
      </c>
      <c r="L18">
        <v>2023</v>
      </c>
    </row>
    <row r="19" spans="1:12" x14ac:dyDescent="0.35">
      <c r="A19">
        <v>18</v>
      </c>
      <c r="B19" s="1">
        <v>45046</v>
      </c>
      <c r="C19" s="2" t="s">
        <v>26</v>
      </c>
      <c r="D19" s="2" t="s">
        <v>43</v>
      </c>
      <c r="E19" s="2" t="s">
        <v>18</v>
      </c>
      <c r="F19">
        <v>47</v>
      </c>
      <c r="G19" s="2" t="s">
        <v>22</v>
      </c>
      <c r="H19">
        <v>2</v>
      </c>
      <c r="I19">
        <v>25</v>
      </c>
      <c r="J19">
        <v>50</v>
      </c>
      <c r="K19">
        <v>50</v>
      </c>
      <c r="L19">
        <v>2023</v>
      </c>
    </row>
    <row r="20" spans="1:12" x14ac:dyDescent="0.35">
      <c r="A20">
        <v>19</v>
      </c>
      <c r="B20" s="1">
        <v>45185</v>
      </c>
      <c r="C20" s="2" t="s">
        <v>44</v>
      </c>
      <c r="D20" s="2" t="s">
        <v>45</v>
      </c>
      <c r="E20" s="2" t="s">
        <v>18</v>
      </c>
      <c r="F20">
        <v>62</v>
      </c>
      <c r="G20" s="2" t="s">
        <v>19</v>
      </c>
      <c r="H20">
        <v>2</v>
      </c>
      <c r="I20">
        <v>25</v>
      </c>
      <c r="J20">
        <v>50</v>
      </c>
      <c r="K20">
        <v>50</v>
      </c>
      <c r="L20">
        <v>2023</v>
      </c>
    </row>
    <row r="21" spans="1:12" x14ac:dyDescent="0.35">
      <c r="A21">
        <v>20</v>
      </c>
      <c r="B21" s="1">
        <v>45235</v>
      </c>
      <c r="C21" s="2" t="s">
        <v>12</v>
      </c>
      <c r="D21" s="2" t="s">
        <v>46</v>
      </c>
      <c r="E21" s="2" t="s">
        <v>14</v>
      </c>
      <c r="F21">
        <v>22</v>
      </c>
      <c r="G21" s="2" t="s">
        <v>19</v>
      </c>
      <c r="H21">
        <v>3</v>
      </c>
      <c r="I21">
        <v>300</v>
      </c>
      <c r="J21">
        <v>900</v>
      </c>
      <c r="K21">
        <v>900</v>
      </c>
      <c r="L21">
        <v>2023</v>
      </c>
    </row>
    <row r="22" spans="1:12" x14ac:dyDescent="0.35">
      <c r="A22">
        <v>21</v>
      </c>
      <c r="B22" s="1">
        <v>44940</v>
      </c>
      <c r="C22" s="2" t="s">
        <v>20</v>
      </c>
      <c r="D22" s="2" t="s">
        <v>47</v>
      </c>
      <c r="E22" s="2" t="s">
        <v>18</v>
      </c>
      <c r="F22">
        <v>50</v>
      </c>
      <c r="G22" s="2" t="s">
        <v>15</v>
      </c>
      <c r="H22">
        <v>1</v>
      </c>
      <c r="I22">
        <v>500</v>
      </c>
      <c r="J22">
        <v>500</v>
      </c>
      <c r="K22">
        <v>500</v>
      </c>
      <c r="L22">
        <v>2023</v>
      </c>
    </row>
    <row r="23" spans="1:12" x14ac:dyDescent="0.35">
      <c r="A23">
        <v>22</v>
      </c>
      <c r="B23" s="1">
        <v>45214</v>
      </c>
      <c r="C23" s="2" t="s">
        <v>33</v>
      </c>
      <c r="D23" s="2" t="s">
        <v>48</v>
      </c>
      <c r="E23" s="2" t="s">
        <v>14</v>
      </c>
      <c r="F23">
        <v>18</v>
      </c>
      <c r="G23" s="2" t="s">
        <v>19</v>
      </c>
      <c r="H23">
        <v>2</v>
      </c>
      <c r="I23">
        <v>50</v>
      </c>
      <c r="J23">
        <v>100</v>
      </c>
      <c r="K23">
        <v>100</v>
      </c>
      <c r="L23">
        <v>2023</v>
      </c>
    </row>
    <row r="24" spans="1:12" x14ac:dyDescent="0.35">
      <c r="A24">
        <v>23</v>
      </c>
      <c r="B24" s="1">
        <v>45028</v>
      </c>
      <c r="C24" s="2" t="s">
        <v>26</v>
      </c>
      <c r="D24" s="2" t="s">
        <v>49</v>
      </c>
      <c r="E24" s="2" t="s">
        <v>18</v>
      </c>
      <c r="F24">
        <v>35</v>
      </c>
      <c r="G24" s="2" t="s">
        <v>19</v>
      </c>
      <c r="H24">
        <v>4</v>
      </c>
      <c r="I24">
        <v>30</v>
      </c>
      <c r="J24">
        <v>120</v>
      </c>
      <c r="K24">
        <v>120</v>
      </c>
      <c r="L24">
        <v>2023</v>
      </c>
    </row>
    <row r="25" spans="1:12" x14ac:dyDescent="0.35">
      <c r="A25">
        <v>24</v>
      </c>
      <c r="B25" s="1">
        <v>45259</v>
      </c>
      <c r="C25" s="2" t="s">
        <v>12</v>
      </c>
      <c r="D25" s="2" t="s">
        <v>50</v>
      </c>
      <c r="E25" s="2" t="s">
        <v>18</v>
      </c>
      <c r="F25">
        <v>49</v>
      </c>
      <c r="G25" s="2" t="s">
        <v>19</v>
      </c>
      <c r="H25">
        <v>1</v>
      </c>
      <c r="I25">
        <v>300</v>
      </c>
      <c r="J25">
        <v>300</v>
      </c>
      <c r="K25">
        <v>300</v>
      </c>
      <c r="L25">
        <v>2023</v>
      </c>
    </row>
    <row r="26" spans="1:12" x14ac:dyDescent="0.35">
      <c r="A26">
        <v>25</v>
      </c>
      <c r="B26" s="1">
        <v>45286</v>
      </c>
      <c r="C26" s="2" t="s">
        <v>31</v>
      </c>
      <c r="D26" s="2" t="s">
        <v>51</v>
      </c>
      <c r="E26" s="2" t="s">
        <v>18</v>
      </c>
      <c r="F26">
        <v>64</v>
      </c>
      <c r="G26" s="2" t="s">
        <v>15</v>
      </c>
      <c r="H26">
        <v>1</v>
      </c>
      <c r="I26">
        <v>50</v>
      </c>
      <c r="J26">
        <v>50</v>
      </c>
      <c r="K26">
        <v>50</v>
      </c>
      <c r="L26">
        <v>2023</v>
      </c>
    </row>
    <row r="27" spans="1:12" x14ac:dyDescent="0.35">
      <c r="A27">
        <v>26</v>
      </c>
      <c r="B27" s="1">
        <v>45206</v>
      </c>
      <c r="C27" s="2" t="s">
        <v>33</v>
      </c>
      <c r="D27" s="2" t="s">
        <v>52</v>
      </c>
      <c r="E27" s="2" t="s">
        <v>18</v>
      </c>
      <c r="F27">
        <v>28</v>
      </c>
      <c r="G27" s="2" t="s">
        <v>22</v>
      </c>
      <c r="H27">
        <v>2</v>
      </c>
      <c r="I27">
        <v>500</v>
      </c>
      <c r="J27">
        <v>1000</v>
      </c>
      <c r="K27">
        <v>1000</v>
      </c>
      <c r="L27">
        <v>2023</v>
      </c>
    </row>
    <row r="28" spans="1:12" x14ac:dyDescent="0.35">
      <c r="A28">
        <v>27</v>
      </c>
      <c r="B28" s="1">
        <v>45141</v>
      </c>
      <c r="C28" s="2" t="s">
        <v>37</v>
      </c>
      <c r="D28" s="2" t="s">
        <v>53</v>
      </c>
      <c r="E28" s="2" t="s">
        <v>18</v>
      </c>
      <c r="F28">
        <v>38</v>
      </c>
      <c r="G28" s="2" t="s">
        <v>15</v>
      </c>
      <c r="H28">
        <v>2</v>
      </c>
      <c r="I28">
        <v>25</v>
      </c>
      <c r="J28">
        <v>50</v>
      </c>
      <c r="K28">
        <v>50</v>
      </c>
      <c r="L28">
        <v>2023</v>
      </c>
    </row>
    <row r="29" spans="1:12" x14ac:dyDescent="0.35">
      <c r="A29">
        <v>28</v>
      </c>
      <c r="B29" s="1">
        <v>45039</v>
      </c>
      <c r="C29" s="2" t="s">
        <v>26</v>
      </c>
      <c r="D29" s="2" t="s">
        <v>54</v>
      </c>
      <c r="E29" s="2" t="s">
        <v>18</v>
      </c>
      <c r="F29">
        <v>43</v>
      </c>
      <c r="G29" s="2" t="s">
        <v>15</v>
      </c>
      <c r="H29">
        <v>1</v>
      </c>
      <c r="I29">
        <v>500</v>
      </c>
      <c r="J29">
        <v>500</v>
      </c>
      <c r="K29">
        <v>500</v>
      </c>
      <c r="L29">
        <v>2023</v>
      </c>
    </row>
    <row r="30" spans="1:12" x14ac:dyDescent="0.35">
      <c r="A30">
        <v>29</v>
      </c>
      <c r="B30" s="1">
        <v>45156</v>
      </c>
      <c r="C30" s="2" t="s">
        <v>37</v>
      </c>
      <c r="D30" s="2" t="s">
        <v>55</v>
      </c>
      <c r="E30" s="2" t="s">
        <v>18</v>
      </c>
      <c r="F30">
        <v>42</v>
      </c>
      <c r="G30" s="2" t="s">
        <v>22</v>
      </c>
      <c r="H30">
        <v>1</v>
      </c>
      <c r="I30">
        <v>30</v>
      </c>
      <c r="J30">
        <v>30</v>
      </c>
      <c r="K30">
        <v>30</v>
      </c>
      <c r="L30">
        <v>2023</v>
      </c>
    </row>
    <row r="31" spans="1:12" x14ac:dyDescent="0.35">
      <c r="A31">
        <v>30</v>
      </c>
      <c r="B31" s="1">
        <v>45228</v>
      </c>
      <c r="C31" s="2" t="s">
        <v>33</v>
      </c>
      <c r="D31" s="2" t="s">
        <v>56</v>
      </c>
      <c r="E31" s="2" t="s">
        <v>18</v>
      </c>
      <c r="F31">
        <v>39</v>
      </c>
      <c r="G31" s="2" t="s">
        <v>15</v>
      </c>
      <c r="H31">
        <v>3</v>
      </c>
      <c r="I31">
        <v>300</v>
      </c>
      <c r="J31">
        <v>900</v>
      </c>
      <c r="K31">
        <v>900</v>
      </c>
      <c r="L31">
        <v>2023</v>
      </c>
    </row>
    <row r="32" spans="1:12" x14ac:dyDescent="0.35">
      <c r="A32">
        <v>31</v>
      </c>
      <c r="B32" s="1">
        <v>45069</v>
      </c>
      <c r="C32" s="2" t="s">
        <v>23</v>
      </c>
      <c r="D32" s="2" t="s">
        <v>57</v>
      </c>
      <c r="E32" s="2" t="s">
        <v>14</v>
      </c>
      <c r="F32">
        <v>44</v>
      </c>
      <c r="G32" s="2" t="s">
        <v>22</v>
      </c>
      <c r="H32">
        <v>4</v>
      </c>
      <c r="I32">
        <v>300</v>
      </c>
      <c r="J32">
        <v>1200</v>
      </c>
      <c r="K32">
        <v>1200</v>
      </c>
      <c r="L32">
        <v>2023</v>
      </c>
    </row>
    <row r="33" spans="1:12" x14ac:dyDescent="0.35">
      <c r="A33">
        <v>32</v>
      </c>
      <c r="B33" s="1">
        <v>44930</v>
      </c>
      <c r="C33" s="2" t="s">
        <v>20</v>
      </c>
      <c r="D33" s="2" t="s">
        <v>58</v>
      </c>
      <c r="E33" s="2" t="s">
        <v>14</v>
      </c>
      <c r="F33">
        <v>30</v>
      </c>
      <c r="G33" s="2" t="s">
        <v>15</v>
      </c>
      <c r="H33">
        <v>3</v>
      </c>
      <c r="I33">
        <v>30</v>
      </c>
      <c r="J33">
        <v>90</v>
      </c>
      <c r="K33">
        <v>90</v>
      </c>
      <c r="L33">
        <v>2023</v>
      </c>
    </row>
    <row r="34" spans="1:12" x14ac:dyDescent="0.35">
      <c r="A34">
        <v>33</v>
      </c>
      <c r="B34" s="1">
        <v>45008</v>
      </c>
      <c r="C34" s="2" t="s">
        <v>28</v>
      </c>
      <c r="D34" s="2" t="s">
        <v>59</v>
      </c>
      <c r="E34" s="2" t="s">
        <v>18</v>
      </c>
      <c r="F34">
        <v>50</v>
      </c>
      <c r="G34" s="2" t="s">
        <v>22</v>
      </c>
      <c r="H34">
        <v>2</v>
      </c>
      <c r="I34">
        <v>50</v>
      </c>
      <c r="J34">
        <v>100</v>
      </c>
      <c r="K34">
        <v>100</v>
      </c>
      <c r="L34">
        <v>2023</v>
      </c>
    </row>
    <row r="35" spans="1:12" x14ac:dyDescent="0.35">
      <c r="A35">
        <v>34</v>
      </c>
      <c r="B35" s="1">
        <v>45284</v>
      </c>
      <c r="C35" s="2" t="s">
        <v>31</v>
      </c>
      <c r="D35" s="2" t="s">
        <v>60</v>
      </c>
      <c r="E35" s="2" t="s">
        <v>18</v>
      </c>
      <c r="F35">
        <v>51</v>
      </c>
      <c r="G35" s="2" t="s">
        <v>19</v>
      </c>
      <c r="H35">
        <v>3</v>
      </c>
      <c r="I35">
        <v>50</v>
      </c>
      <c r="J35">
        <v>150</v>
      </c>
      <c r="K35">
        <v>150</v>
      </c>
      <c r="L35">
        <v>2023</v>
      </c>
    </row>
    <row r="36" spans="1:12" x14ac:dyDescent="0.35">
      <c r="A36">
        <v>35</v>
      </c>
      <c r="B36" s="1">
        <v>45143</v>
      </c>
      <c r="C36" s="2" t="s">
        <v>37</v>
      </c>
      <c r="D36" s="2" t="s">
        <v>61</v>
      </c>
      <c r="E36" s="2" t="s">
        <v>18</v>
      </c>
      <c r="F36">
        <v>58</v>
      </c>
      <c r="G36" s="2" t="s">
        <v>15</v>
      </c>
      <c r="H36">
        <v>3</v>
      </c>
      <c r="I36">
        <v>300</v>
      </c>
      <c r="J36">
        <v>900</v>
      </c>
      <c r="K36">
        <v>900</v>
      </c>
      <c r="L36">
        <v>2023</v>
      </c>
    </row>
    <row r="37" spans="1:12" x14ac:dyDescent="0.35">
      <c r="A37">
        <v>36</v>
      </c>
      <c r="B37" s="1">
        <v>45101</v>
      </c>
      <c r="C37" s="2" t="s">
        <v>62</v>
      </c>
      <c r="D37" s="2" t="s">
        <v>63</v>
      </c>
      <c r="E37" s="2" t="s">
        <v>14</v>
      </c>
      <c r="F37">
        <v>52</v>
      </c>
      <c r="G37" s="2" t="s">
        <v>15</v>
      </c>
      <c r="H37">
        <v>3</v>
      </c>
      <c r="I37">
        <v>300</v>
      </c>
      <c r="J37">
        <v>900</v>
      </c>
      <c r="K37">
        <v>900</v>
      </c>
      <c r="L37">
        <v>2023</v>
      </c>
    </row>
    <row r="38" spans="1:12" x14ac:dyDescent="0.35">
      <c r="A38">
        <v>37</v>
      </c>
      <c r="B38" s="1">
        <v>45069</v>
      </c>
      <c r="C38" s="2" t="s">
        <v>23</v>
      </c>
      <c r="D38" s="2" t="s">
        <v>64</v>
      </c>
      <c r="E38" s="2" t="s">
        <v>18</v>
      </c>
      <c r="F38">
        <v>18</v>
      </c>
      <c r="G38" s="2" t="s">
        <v>15</v>
      </c>
      <c r="H38">
        <v>3</v>
      </c>
      <c r="I38">
        <v>25</v>
      </c>
      <c r="J38">
        <v>75</v>
      </c>
      <c r="K38">
        <v>75</v>
      </c>
      <c r="L38">
        <v>2023</v>
      </c>
    </row>
    <row r="39" spans="1:12" x14ac:dyDescent="0.35">
      <c r="A39">
        <v>38</v>
      </c>
      <c r="B39" s="1">
        <v>45006</v>
      </c>
      <c r="C39" s="2" t="s">
        <v>28</v>
      </c>
      <c r="D39" s="2" t="s">
        <v>65</v>
      </c>
      <c r="E39" s="2" t="s">
        <v>14</v>
      </c>
      <c r="F39">
        <v>38</v>
      </c>
      <c r="G39" s="2" t="s">
        <v>15</v>
      </c>
      <c r="H39">
        <v>4</v>
      </c>
      <c r="I39">
        <v>50</v>
      </c>
      <c r="J39">
        <v>200</v>
      </c>
      <c r="K39">
        <v>200</v>
      </c>
      <c r="L39">
        <v>2023</v>
      </c>
    </row>
    <row r="40" spans="1:12" x14ac:dyDescent="0.35">
      <c r="A40">
        <v>39</v>
      </c>
      <c r="B40" s="1">
        <v>45037</v>
      </c>
      <c r="C40" s="2" t="s">
        <v>26</v>
      </c>
      <c r="D40" s="2" t="s">
        <v>66</v>
      </c>
      <c r="E40" s="2" t="s">
        <v>14</v>
      </c>
      <c r="F40">
        <v>23</v>
      </c>
      <c r="G40" s="2" t="s">
        <v>19</v>
      </c>
      <c r="H40">
        <v>4</v>
      </c>
      <c r="I40">
        <v>30</v>
      </c>
      <c r="J40">
        <v>120</v>
      </c>
      <c r="K40">
        <v>120</v>
      </c>
      <c r="L40">
        <v>2023</v>
      </c>
    </row>
    <row r="41" spans="1:12" x14ac:dyDescent="0.35">
      <c r="A41">
        <v>40</v>
      </c>
      <c r="B41" s="1">
        <v>45099</v>
      </c>
      <c r="C41" s="2" t="s">
        <v>62</v>
      </c>
      <c r="D41" s="2" t="s">
        <v>67</v>
      </c>
      <c r="E41" s="2" t="s">
        <v>14</v>
      </c>
      <c r="F41">
        <v>45</v>
      </c>
      <c r="G41" s="2" t="s">
        <v>15</v>
      </c>
      <c r="H41">
        <v>1</v>
      </c>
      <c r="I41">
        <v>50</v>
      </c>
      <c r="J41">
        <v>50</v>
      </c>
      <c r="K41">
        <v>50</v>
      </c>
      <c r="L41">
        <v>2023</v>
      </c>
    </row>
    <row r="42" spans="1:12" x14ac:dyDescent="0.35">
      <c r="A42">
        <v>41</v>
      </c>
      <c r="B42" s="1">
        <v>44979</v>
      </c>
      <c r="C42" s="2" t="s">
        <v>16</v>
      </c>
      <c r="D42" s="2" t="s">
        <v>68</v>
      </c>
      <c r="E42" s="2" t="s">
        <v>14</v>
      </c>
      <c r="F42">
        <v>34</v>
      </c>
      <c r="G42" s="2" t="s">
        <v>19</v>
      </c>
      <c r="H42">
        <v>2</v>
      </c>
      <c r="I42">
        <v>25</v>
      </c>
      <c r="J42">
        <v>50</v>
      </c>
      <c r="K42">
        <v>50</v>
      </c>
      <c r="L42">
        <v>2023</v>
      </c>
    </row>
    <row r="43" spans="1:12" x14ac:dyDescent="0.35">
      <c r="A43">
        <v>42</v>
      </c>
      <c r="B43" s="1">
        <v>44974</v>
      </c>
      <c r="C43" s="2" t="s">
        <v>16</v>
      </c>
      <c r="D43" s="2" t="s">
        <v>69</v>
      </c>
      <c r="E43" s="2" t="s">
        <v>14</v>
      </c>
      <c r="F43">
        <v>22</v>
      </c>
      <c r="G43" s="2" t="s">
        <v>19</v>
      </c>
      <c r="H43">
        <v>3</v>
      </c>
      <c r="I43">
        <v>300</v>
      </c>
      <c r="J43">
        <v>900</v>
      </c>
      <c r="K43">
        <v>900</v>
      </c>
      <c r="L43">
        <v>2023</v>
      </c>
    </row>
    <row r="44" spans="1:12" x14ac:dyDescent="0.35">
      <c r="A44">
        <v>43</v>
      </c>
      <c r="B44" s="1">
        <v>45121</v>
      </c>
      <c r="C44" s="2" t="s">
        <v>70</v>
      </c>
      <c r="D44" s="2" t="s">
        <v>71</v>
      </c>
      <c r="E44" s="2" t="s">
        <v>18</v>
      </c>
      <c r="F44">
        <v>48</v>
      </c>
      <c r="G44" s="2" t="s">
        <v>19</v>
      </c>
      <c r="H44">
        <v>1</v>
      </c>
      <c r="I44">
        <v>300</v>
      </c>
      <c r="J44">
        <v>300</v>
      </c>
      <c r="K44">
        <v>300</v>
      </c>
      <c r="L44">
        <v>2023</v>
      </c>
    </row>
    <row r="45" spans="1:12" x14ac:dyDescent="0.35">
      <c r="A45">
        <v>44</v>
      </c>
      <c r="B45" s="1">
        <v>44976</v>
      </c>
      <c r="C45" s="2" t="s">
        <v>16</v>
      </c>
      <c r="D45" s="2" t="s">
        <v>72</v>
      </c>
      <c r="E45" s="2" t="s">
        <v>18</v>
      </c>
      <c r="F45">
        <v>22</v>
      </c>
      <c r="G45" s="2" t="s">
        <v>19</v>
      </c>
      <c r="H45">
        <v>1</v>
      </c>
      <c r="I45">
        <v>25</v>
      </c>
      <c r="J45">
        <v>25</v>
      </c>
      <c r="K45">
        <v>25</v>
      </c>
      <c r="L45">
        <v>2023</v>
      </c>
    </row>
    <row r="46" spans="1:12" x14ac:dyDescent="0.35">
      <c r="A46">
        <v>45</v>
      </c>
      <c r="B46" s="1">
        <v>45110</v>
      </c>
      <c r="C46" s="2" t="s">
        <v>70</v>
      </c>
      <c r="D46" s="2" t="s">
        <v>73</v>
      </c>
      <c r="E46" s="2" t="s">
        <v>18</v>
      </c>
      <c r="F46">
        <v>55</v>
      </c>
      <c r="G46" s="2" t="s">
        <v>22</v>
      </c>
      <c r="H46">
        <v>1</v>
      </c>
      <c r="I46">
        <v>30</v>
      </c>
      <c r="J46">
        <v>30</v>
      </c>
      <c r="K46">
        <v>30</v>
      </c>
      <c r="L46">
        <v>2023</v>
      </c>
    </row>
    <row r="47" spans="1:12" x14ac:dyDescent="0.35">
      <c r="A47">
        <v>46</v>
      </c>
      <c r="B47" s="1">
        <v>45103</v>
      </c>
      <c r="C47" s="2" t="s">
        <v>62</v>
      </c>
      <c r="D47" s="2" t="s">
        <v>74</v>
      </c>
      <c r="E47" s="2" t="s">
        <v>18</v>
      </c>
      <c r="F47">
        <v>20</v>
      </c>
      <c r="G47" s="2" t="s">
        <v>22</v>
      </c>
      <c r="H47">
        <v>4</v>
      </c>
      <c r="I47">
        <v>300</v>
      </c>
      <c r="J47">
        <v>1200</v>
      </c>
      <c r="K47">
        <v>1200</v>
      </c>
      <c r="L47">
        <v>2023</v>
      </c>
    </row>
    <row r="48" spans="1:12" x14ac:dyDescent="0.35">
      <c r="A48">
        <v>47</v>
      </c>
      <c r="B48" s="1">
        <v>45236</v>
      </c>
      <c r="C48" s="2" t="s">
        <v>12</v>
      </c>
      <c r="D48" s="2" t="s">
        <v>75</v>
      </c>
      <c r="E48" s="2" t="s">
        <v>18</v>
      </c>
      <c r="F48">
        <v>40</v>
      </c>
      <c r="G48" s="2" t="s">
        <v>15</v>
      </c>
      <c r="H48">
        <v>3</v>
      </c>
      <c r="I48">
        <v>500</v>
      </c>
      <c r="J48">
        <v>1500</v>
      </c>
      <c r="K48">
        <v>1500</v>
      </c>
      <c r="L48">
        <v>2023</v>
      </c>
    </row>
    <row r="49" spans="1:12" x14ac:dyDescent="0.35">
      <c r="A49">
        <v>48</v>
      </c>
      <c r="B49" s="1">
        <v>45062</v>
      </c>
      <c r="C49" s="2" t="s">
        <v>23</v>
      </c>
      <c r="D49" s="2" t="s">
        <v>76</v>
      </c>
      <c r="E49" s="2" t="s">
        <v>14</v>
      </c>
      <c r="F49">
        <v>54</v>
      </c>
      <c r="G49" s="2" t="s">
        <v>22</v>
      </c>
      <c r="H49">
        <v>3</v>
      </c>
      <c r="I49">
        <v>300</v>
      </c>
      <c r="J49">
        <v>900</v>
      </c>
      <c r="K49">
        <v>900</v>
      </c>
      <c r="L49">
        <v>2023</v>
      </c>
    </row>
    <row r="50" spans="1:12" x14ac:dyDescent="0.35">
      <c r="A50">
        <v>49</v>
      </c>
      <c r="B50" s="1">
        <v>44949</v>
      </c>
      <c r="C50" s="2" t="s">
        <v>20</v>
      </c>
      <c r="D50" s="2" t="s">
        <v>77</v>
      </c>
      <c r="E50" s="2" t="s">
        <v>18</v>
      </c>
      <c r="F50">
        <v>54</v>
      </c>
      <c r="G50" s="2" t="s">
        <v>22</v>
      </c>
      <c r="H50">
        <v>2</v>
      </c>
      <c r="I50">
        <v>500</v>
      </c>
      <c r="J50">
        <v>1000</v>
      </c>
      <c r="K50">
        <v>1000</v>
      </c>
      <c r="L50">
        <v>2023</v>
      </c>
    </row>
    <row r="51" spans="1:12" x14ac:dyDescent="0.35">
      <c r="A51">
        <v>50</v>
      </c>
      <c r="B51" s="1">
        <v>45162</v>
      </c>
      <c r="C51" s="2" t="s">
        <v>37</v>
      </c>
      <c r="D51" s="2" t="s">
        <v>78</v>
      </c>
      <c r="E51" s="2" t="s">
        <v>18</v>
      </c>
      <c r="F51">
        <v>27</v>
      </c>
      <c r="G51" s="2" t="s">
        <v>15</v>
      </c>
      <c r="H51">
        <v>3</v>
      </c>
      <c r="I51">
        <v>25</v>
      </c>
      <c r="J51">
        <v>75</v>
      </c>
      <c r="K51">
        <v>75</v>
      </c>
      <c r="L51">
        <v>2023</v>
      </c>
    </row>
    <row r="52" spans="1:12" x14ac:dyDescent="0.35">
      <c r="A52">
        <v>51</v>
      </c>
      <c r="B52" s="1">
        <v>45201</v>
      </c>
      <c r="C52" s="2" t="s">
        <v>33</v>
      </c>
      <c r="D52" s="2" t="s">
        <v>79</v>
      </c>
      <c r="E52" s="2" t="s">
        <v>14</v>
      </c>
      <c r="F52">
        <v>27</v>
      </c>
      <c r="G52" s="2" t="s">
        <v>15</v>
      </c>
      <c r="H52">
        <v>3</v>
      </c>
      <c r="I52">
        <v>25</v>
      </c>
      <c r="J52">
        <v>75</v>
      </c>
      <c r="K52">
        <v>75</v>
      </c>
      <c r="L52">
        <v>2023</v>
      </c>
    </row>
    <row r="53" spans="1:12" x14ac:dyDescent="0.35">
      <c r="A53">
        <v>52</v>
      </c>
      <c r="B53" s="1">
        <v>44990</v>
      </c>
      <c r="C53" s="2" t="s">
        <v>28</v>
      </c>
      <c r="D53" s="2" t="s">
        <v>80</v>
      </c>
      <c r="E53" s="2" t="s">
        <v>18</v>
      </c>
      <c r="F53">
        <v>36</v>
      </c>
      <c r="G53" s="2" t="s">
        <v>15</v>
      </c>
      <c r="H53">
        <v>1</v>
      </c>
      <c r="I53">
        <v>300</v>
      </c>
      <c r="J53">
        <v>300</v>
      </c>
      <c r="K53">
        <v>300</v>
      </c>
      <c r="L53">
        <v>2023</v>
      </c>
    </row>
    <row r="54" spans="1:12" x14ac:dyDescent="0.35">
      <c r="A54">
        <v>53</v>
      </c>
      <c r="B54" s="1">
        <v>45120</v>
      </c>
      <c r="C54" s="2" t="s">
        <v>70</v>
      </c>
      <c r="D54" s="2" t="s">
        <v>81</v>
      </c>
      <c r="E54" s="2" t="s">
        <v>14</v>
      </c>
      <c r="F54">
        <v>34</v>
      </c>
      <c r="G54" s="2" t="s">
        <v>22</v>
      </c>
      <c r="H54">
        <v>2</v>
      </c>
      <c r="I54">
        <v>50</v>
      </c>
      <c r="J54">
        <v>100</v>
      </c>
      <c r="K54">
        <v>100</v>
      </c>
      <c r="L54">
        <v>2023</v>
      </c>
    </row>
    <row r="55" spans="1:12" x14ac:dyDescent="0.35">
      <c r="A55">
        <v>54</v>
      </c>
      <c r="B55" s="1">
        <v>44967</v>
      </c>
      <c r="C55" s="2" t="s">
        <v>16</v>
      </c>
      <c r="D55" s="2" t="s">
        <v>82</v>
      </c>
      <c r="E55" s="2" t="s">
        <v>18</v>
      </c>
      <c r="F55">
        <v>38</v>
      </c>
      <c r="G55" s="2" t="s">
        <v>22</v>
      </c>
      <c r="H55">
        <v>3</v>
      </c>
      <c r="I55">
        <v>500</v>
      </c>
      <c r="J55">
        <v>1500</v>
      </c>
      <c r="K55">
        <v>1500</v>
      </c>
      <c r="L55">
        <v>2023</v>
      </c>
    </row>
    <row r="56" spans="1:12" x14ac:dyDescent="0.35">
      <c r="A56">
        <v>55</v>
      </c>
      <c r="B56" s="1">
        <v>45209</v>
      </c>
      <c r="C56" s="2" t="s">
        <v>33</v>
      </c>
      <c r="D56" s="2" t="s">
        <v>83</v>
      </c>
      <c r="E56" s="2" t="s">
        <v>14</v>
      </c>
      <c r="F56">
        <v>31</v>
      </c>
      <c r="G56" s="2" t="s">
        <v>15</v>
      </c>
      <c r="H56">
        <v>4</v>
      </c>
      <c r="I56">
        <v>30</v>
      </c>
      <c r="J56">
        <v>120</v>
      </c>
      <c r="K56">
        <v>120</v>
      </c>
      <c r="L56">
        <v>2023</v>
      </c>
    </row>
    <row r="57" spans="1:12" x14ac:dyDescent="0.35">
      <c r="A57">
        <v>56</v>
      </c>
      <c r="B57" s="1">
        <v>45077</v>
      </c>
      <c r="C57" s="2" t="s">
        <v>23</v>
      </c>
      <c r="D57" s="2" t="s">
        <v>84</v>
      </c>
      <c r="E57" s="2" t="s">
        <v>18</v>
      </c>
      <c r="F57">
        <v>26</v>
      </c>
      <c r="G57" s="2" t="s">
        <v>19</v>
      </c>
      <c r="H57">
        <v>3</v>
      </c>
      <c r="I57">
        <v>300</v>
      </c>
      <c r="J57">
        <v>900</v>
      </c>
      <c r="K57">
        <v>900</v>
      </c>
      <c r="L57">
        <v>2023</v>
      </c>
    </row>
    <row r="58" spans="1:12" x14ac:dyDescent="0.35">
      <c r="A58">
        <v>57</v>
      </c>
      <c r="B58" s="1">
        <v>45248</v>
      </c>
      <c r="C58" s="2" t="s">
        <v>12</v>
      </c>
      <c r="D58" s="2" t="s">
        <v>85</v>
      </c>
      <c r="E58" s="2" t="s">
        <v>18</v>
      </c>
      <c r="F58">
        <v>63</v>
      </c>
      <c r="G58" s="2" t="s">
        <v>15</v>
      </c>
      <c r="H58">
        <v>1</v>
      </c>
      <c r="I58">
        <v>30</v>
      </c>
      <c r="J58">
        <v>30</v>
      </c>
      <c r="K58">
        <v>30</v>
      </c>
      <c r="L58">
        <v>2023</v>
      </c>
    </row>
    <row r="59" spans="1:12" x14ac:dyDescent="0.35">
      <c r="A59">
        <v>58</v>
      </c>
      <c r="B59" s="1">
        <v>45243</v>
      </c>
      <c r="C59" s="2" t="s">
        <v>12</v>
      </c>
      <c r="D59" s="2" t="s">
        <v>86</v>
      </c>
      <c r="E59" s="2" t="s">
        <v>14</v>
      </c>
      <c r="F59">
        <v>18</v>
      </c>
      <c r="G59" s="2" t="s">
        <v>19</v>
      </c>
      <c r="H59">
        <v>4</v>
      </c>
      <c r="I59">
        <v>300</v>
      </c>
      <c r="J59">
        <v>1200</v>
      </c>
      <c r="K59">
        <v>1200</v>
      </c>
      <c r="L59">
        <v>2023</v>
      </c>
    </row>
    <row r="60" spans="1:12" x14ac:dyDescent="0.35">
      <c r="A60">
        <v>59</v>
      </c>
      <c r="B60" s="1">
        <v>45112</v>
      </c>
      <c r="C60" s="2" t="s">
        <v>70</v>
      </c>
      <c r="D60" s="2" t="s">
        <v>87</v>
      </c>
      <c r="E60" s="2" t="s">
        <v>14</v>
      </c>
      <c r="F60">
        <v>62</v>
      </c>
      <c r="G60" s="2" t="s">
        <v>19</v>
      </c>
      <c r="H60">
        <v>1</v>
      </c>
      <c r="I60">
        <v>50</v>
      </c>
      <c r="J60">
        <v>50</v>
      </c>
      <c r="K60">
        <v>50</v>
      </c>
      <c r="L60">
        <v>2023</v>
      </c>
    </row>
    <row r="61" spans="1:12" x14ac:dyDescent="0.35">
      <c r="A61">
        <v>60</v>
      </c>
      <c r="B61" s="1">
        <v>45222</v>
      </c>
      <c r="C61" s="2" t="s">
        <v>33</v>
      </c>
      <c r="D61" s="2" t="s">
        <v>88</v>
      </c>
      <c r="E61" s="2" t="s">
        <v>14</v>
      </c>
      <c r="F61">
        <v>30</v>
      </c>
      <c r="G61" s="2" t="s">
        <v>15</v>
      </c>
      <c r="H61">
        <v>3</v>
      </c>
      <c r="I61">
        <v>50</v>
      </c>
      <c r="J61">
        <v>150</v>
      </c>
      <c r="K61">
        <v>150</v>
      </c>
      <c r="L61">
        <v>2023</v>
      </c>
    </row>
    <row r="62" spans="1:12" x14ac:dyDescent="0.35">
      <c r="A62">
        <v>61</v>
      </c>
      <c r="B62" s="1">
        <v>45025</v>
      </c>
      <c r="C62" s="2" t="s">
        <v>26</v>
      </c>
      <c r="D62" s="2" t="s">
        <v>89</v>
      </c>
      <c r="E62" s="2" t="s">
        <v>14</v>
      </c>
      <c r="F62">
        <v>21</v>
      </c>
      <c r="G62" s="2" t="s">
        <v>15</v>
      </c>
      <c r="H62">
        <v>4</v>
      </c>
      <c r="I62">
        <v>50</v>
      </c>
      <c r="J62">
        <v>200</v>
      </c>
      <c r="K62">
        <v>200</v>
      </c>
      <c r="L62">
        <v>2023</v>
      </c>
    </row>
    <row r="63" spans="1:12" x14ac:dyDescent="0.35">
      <c r="A63">
        <v>62</v>
      </c>
      <c r="B63" s="1">
        <v>45287</v>
      </c>
      <c r="C63" s="2" t="s">
        <v>31</v>
      </c>
      <c r="D63" s="2" t="s">
        <v>90</v>
      </c>
      <c r="E63" s="2" t="s">
        <v>14</v>
      </c>
      <c r="F63">
        <v>18</v>
      </c>
      <c r="G63" s="2" t="s">
        <v>15</v>
      </c>
      <c r="H63">
        <v>2</v>
      </c>
      <c r="I63">
        <v>50</v>
      </c>
      <c r="J63">
        <v>100</v>
      </c>
      <c r="K63">
        <v>100</v>
      </c>
      <c r="L63">
        <v>2023</v>
      </c>
    </row>
    <row r="64" spans="1:12" x14ac:dyDescent="0.35">
      <c r="A64">
        <v>63</v>
      </c>
      <c r="B64" s="1">
        <v>44962</v>
      </c>
      <c r="C64" s="2" t="s">
        <v>16</v>
      </c>
      <c r="D64" s="2" t="s">
        <v>91</v>
      </c>
      <c r="E64" s="2" t="s">
        <v>14</v>
      </c>
      <c r="F64">
        <v>57</v>
      </c>
      <c r="G64" s="2" t="s">
        <v>22</v>
      </c>
      <c r="H64">
        <v>2</v>
      </c>
      <c r="I64">
        <v>25</v>
      </c>
      <c r="J64">
        <v>50</v>
      </c>
      <c r="K64">
        <v>50</v>
      </c>
      <c r="L64">
        <v>2023</v>
      </c>
    </row>
    <row r="65" spans="1:12" x14ac:dyDescent="0.35">
      <c r="A65">
        <v>64</v>
      </c>
      <c r="B65" s="1">
        <v>44950</v>
      </c>
      <c r="C65" s="2" t="s">
        <v>20</v>
      </c>
      <c r="D65" s="2" t="s">
        <v>92</v>
      </c>
      <c r="E65" s="2" t="s">
        <v>14</v>
      </c>
      <c r="F65">
        <v>49</v>
      </c>
      <c r="G65" s="2" t="s">
        <v>19</v>
      </c>
      <c r="H65">
        <v>4</v>
      </c>
      <c r="I65">
        <v>25</v>
      </c>
      <c r="J65">
        <v>100</v>
      </c>
      <c r="K65">
        <v>100</v>
      </c>
      <c r="L65">
        <v>2023</v>
      </c>
    </row>
    <row r="66" spans="1:12" x14ac:dyDescent="0.35">
      <c r="A66">
        <v>65</v>
      </c>
      <c r="B66" s="1">
        <v>45265</v>
      </c>
      <c r="C66" s="2" t="s">
        <v>31</v>
      </c>
      <c r="D66" s="2" t="s">
        <v>93</v>
      </c>
      <c r="E66" s="2" t="s">
        <v>14</v>
      </c>
      <c r="F66">
        <v>51</v>
      </c>
      <c r="G66" s="2" t="s">
        <v>22</v>
      </c>
      <c r="H66">
        <v>4</v>
      </c>
      <c r="I66">
        <v>500</v>
      </c>
      <c r="J66">
        <v>2000</v>
      </c>
      <c r="K66">
        <v>2000</v>
      </c>
      <c r="L66">
        <v>2023</v>
      </c>
    </row>
    <row r="67" spans="1:12" x14ac:dyDescent="0.35">
      <c r="A67">
        <v>66</v>
      </c>
      <c r="B67" s="1">
        <v>45043</v>
      </c>
      <c r="C67" s="2" t="s">
        <v>26</v>
      </c>
      <c r="D67" s="2" t="s">
        <v>94</v>
      </c>
      <c r="E67" s="2" t="s">
        <v>18</v>
      </c>
      <c r="F67">
        <v>45</v>
      </c>
      <c r="G67" s="2" t="s">
        <v>22</v>
      </c>
      <c r="H67">
        <v>1</v>
      </c>
      <c r="I67">
        <v>30</v>
      </c>
      <c r="J67">
        <v>30</v>
      </c>
      <c r="K67">
        <v>30</v>
      </c>
      <c r="L67">
        <v>2023</v>
      </c>
    </row>
    <row r="68" spans="1:12" x14ac:dyDescent="0.35">
      <c r="A68">
        <v>67</v>
      </c>
      <c r="B68" s="1">
        <v>45075</v>
      </c>
      <c r="C68" s="2" t="s">
        <v>23</v>
      </c>
      <c r="D68" s="2" t="s">
        <v>95</v>
      </c>
      <c r="E68" s="2" t="s">
        <v>18</v>
      </c>
      <c r="F68">
        <v>48</v>
      </c>
      <c r="G68" s="2" t="s">
        <v>15</v>
      </c>
      <c r="H68">
        <v>4</v>
      </c>
      <c r="I68">
        <v>300</v>
      </c>
      <c r="J68">
        <v>1200</v>
      </c>
      <c r="K68">
        <v>1200</v>
      </c>
      <c r="L68">
        <v>2023</v>
      </c>
    </row>
    <row r="69" spans="1:12" x14ac:dyDescent="0.35">
      <c r="A69">
        <v>68</v>
      </c>
      <c r="B69" s="1">
        <v>44967</v>
      </c>
      <c r="C69" s="2" t="s">
        <v>16</v>
      </c>
      <c r="D69" s="2" t="s">
        <v>96</v>
      </c>
      <c r="E69" s="2" t="s">
        <v>14</v>
      </c>
      <c r="F69">
        <v>25</v>
      </c>
      <c r="G69" s="2" t="s">
        <v>22</v>
      </c>
      <c r="H69">
        <v>1</v>
      </c>
      <c r="I69">
        <v>300</v>
      </c>
      <c r="J69">
        <v>300</v>
      </c>
      <c r="K69">
        <v>300</v>
      </c>
      <c r="L69">
        <v>2023</v>
      </c>
    </row>
    <row r="70" spans="1:12" x14ac:dyDescent="0.35">
      <c r="A70">
        <v>69</v>
      </c>
      <c r="B70" s="1">
        <v>45046</v>
      </c>
      <c r="C70" s="2" t="s">
        <v>26</v>
      </c>
      <c r="D70" s="2" t="s">
        <v>97</v>
      </c>
      <c r="E70" s="2" t="s">
        <v>18</v>
      </c>
      <c r="F70">
        <v>56</v>
      </c>
      <c r="G70" s="2" t="s">
        <v>15</v>
      </c>
      <c r="H70">
        <v>3</v>
      </c>
      <c r="I70">
        <v>25</v>
      </c>
      <c r="J70">
        <v>75</v>
      </c>
      <c r="K70">
        <v>75</v>
      </c>
      <c r="L70">
        <v>2023</v>
      </c>
    </row>
    <row r="71" spans="1:12" x14ac:dyDescent="0.35">
      <c r="A71">
        <v>70</v>
      </c>
      <c r="B71" s="1">
        <v>44978</v>
      </c>
      <c r="C71" s="2" t="s">
        <v>16</v>
      </c>
      <c r="D71" s="2" t="s">
        <v>98</v>
      </c>
      <c r="E71" s="2" t="s">
        <v>18</v>
      </c>
      <c r="F71">
        <v>43</v>
      </c>
      <c r="G71" s="2" t="s">
        <v>19</v>
      </c>
      <c r="H71">
        <v>1</v>
      </c>
      <c r="I71">
        <v>300</v>
      </c>
      <c r="J71">
        <v>300</v>
      </c>
      <c r="K71">
        <v>300</v>
      </c>
      <c r="L71">
        <v>2023</v>
      </c>
    </row>
    <row r="72" spans="1:12" x14ac:dyDescent="0.35">
      <c r="A72">
        <v>71</v>
      </c>
      <c r="B72" s="1">
        <v>45121</v>
      </c>
      <c r="C72" s="2" t="s">
        <v>70</v>
      </c>
      <c r="D72" s="2" t="s">
        <v>99</v>
      </c>
      <c r="E72" s="2" t="s">
        <v>18</v>
      </c>
      <c r="F72">
        <v>51</v>
      </c>
      <c r="G72" s="2" t="s">
        <v>15</v>
      </c>
      <c r="H72">
        <v>4</v>
      </c>
      <c r="I72">
        <v>25</v>
      </c>
      <c r="J72">
        <v>100</v>
      </c>
      <c r="K72">
        <v>100</v>
      </c>
      <c r="L72">
        <v>2023</v>
      </c>
    </row>
    <row r="73" spans="1:12" x14ac:dyDescent="0.35">
      <c r="A73">
        <v>72</v>
      </c>
      <c r="B73" s="1">
        <v>45069</v>
      </c>
      <c r="C73" s="2" t="s">
        <v>23</v>
      </c>
      <c r="D73" s="2" t="s">
        <v>100</v>
      </c>
      <c r="E73" s="2" t="s">
        <v>18</v>
      </c>
      <c r="F73">
        <v>20</v>
      </c>
      <c r="G73" s="2" t="s">
        <v>22</v>
      </c>
      <c r="H73">
        <v>4</v>
      </c>
      <c r="I73">
        <v>500</v>
      </c>
      <c r="J73">
        <v>2000</v>
      </c>
      <c r="K73">
        <v>2000</v>
      </c>
      <c r="L73">
        <v>2023</v>
      </c>
    </row>
    <row r="74" spans="1:12" x14ac:dyDescent="0.35">
      <c r="A74">
        <v>73</v>
      </c>
      <c r="B74" s="1">
        <v>45159</v>
      </c>
      <c r="C74" s="2" t="s">
        <v>37</v>
      </c>
      <c r="D74" s="2" t="s">
        <v>101</v>
      </c>
      <c r="E74" s="2" t="s">
        <v>14</v>
      </c>
      <c r="F74">
        <v>29</v>
      </c>
      <c r="G74" s="2" t="s">
        <v>22</v>
      </c>
      <c r="H74">
        <v>3</v>
      </c>
      <c r="I74">
        <v>30</v>
      </c>
      <c r="J74">
        <v>90</v>
      </c>
      <c r="K74">
        <v>90</v>
      </c>
      <c r="L74">
        <v>2023</v>
      </c>
    </row>
    <row r="75" spans="1:12" x14ac:dyDescent="0.35">
      <c r="A75">
        <v>74</v>
      </c>
      <c r="B75" s="1">
        <v>45252</v>
      </c>
      <c r="C75" s="2" t="s">
        <v>12</v>
      </c>
      <c r="D75" s="2" t="s">
        <v>102</v>
      </c>
      <c r="E75" s="2" t="s">
        <v>18</v>
      </c>
      <c r="F75">
        <v>18</v>
      </c>
      <c r="G75" s="2" t="s">
        <v>15</v>
      </c>
      <c r="H75">
        <v>4</v>
      </c>
      <c r="I75">
        <v>500</v>
      </c>
      <c r="J75">
        <v>2000</v>
      </c>
      <c r="K75">
        <v>2000</v>
      </c>
      <c r="L75">
        <v>2023</v>
      </c>
    </row>
    <row r="76" spans="1:12" x14ac:dyDescent="0.35">
      <c r="A76">
        <v>75</v>
      </c>
      <c r="B76" s="1">
        <v>45113</v>
      </c>
      <c r="C76" s="2" t="s">
        <v>70</v>
      </c>
      <c r="D76" s="2" t="s">
        <v>103</v>
      </c>
      <c r="E76" s="2" t="s">
        <v>14</v>
      </c>
      <c r="F76">
        <v>61</v>
      </c>
      <c r="G76" s="2" t="s">
        <v>15</v>
      </c>
      <c r="H76">
        <v>4</v>
      </c>
      <c r="I76">
        <v>50</v>
      </c>
      <c r="J76">
        <v>200</v>
      </c>
      <c r="K76">
        <v>200</v>
      </c>
      <c r="L76">
        <v>2023</v>
      </c>
    </row>
    <row r="77" spans="1:12" x14ac:dyDescent="0.35">
      <c r="A77">
        <v>76</v>
      </c>
      <c r="B77" s="1">
        <v>45010</v>
      </c>
      <c r="C77" s="2" t="s">
        <v>28</v>
      </c>
      <c r="D77" s="2" t="s">
        <v>104</v>
      </c>
      <c r="E77" s="2" t="s">
        <v>18</v>
      </c>
      <c r="F77">
        <v>22</v>
      </c>
      <c r="G77" s="2" t="s">
        <v>22</v>
      </c>
      <c r="H77">
        <v>2</v>
      </c>
      <c r="I77">
        <v>50</v>
      </c>
      <c r="J77">
        <v>100</v>
      </c>
      <c r="K77">
        <v>100</v>
      </c>
      <c r="L77">
        <v>2023</v>
      </c>
    </row>
    <row r="78" spans="1:12" x14ac:dyDescent="0.35">
      <c r="A78">
        <v>77</v>
      </c>
      <c r="B78" s="1">
        <v>45116</v>
      </c>
      <c r="C78" s="2" t="s">
        <v>70</v>
      </c>
      <c r="D78" s="2" t="s">
        <v>105</v>
      </c>
      <c r="E78" s="2" t="s">
        <v>18</v>
      </c>
      <c r="F78">
        <v>47</v>
      </c>
      <c r="G78" s="2" t="s">
        <v>19</v>
      </c>
      <c r="H78">
        <v>2</v>
      </c>
      <c r="I78">
        <v>50</v>
      </c>
      <c r="J78">
        <v>100</v>
      </c>
      <c r="K78">
        <v>100</v>
      </c>
      <c r="L78">
        <v>2023</v>
      </c>
    </row>
    <row r="79" spans="1:12" x14ac:dyDescent="0.35">
      <c r="A79">
        <v>78</v>
      </c>
      <c r="B79" s="1">
        <v>45108</v>
      </c>
      <c r="C79" s="2" t="s">
        <v>70</v>
      </c>
      <c r="D79" s="2" t="s">
        <v>106</v>
      </c>
      <c r="E79" s="2" t="s">
        <v>18</v>
      </c>
      <c r="F79">
        <v>47</v>
      </c>
      <c r="G79" s="2" t="s">
        <v>19</v>
      </c>
      <c r="H79">
        <v>3</v>
      </c>
      <c r="I79">
        <v>500</v>
      </c>
      <c r="J79">
        <v>1500</v>
      </c>
      <c r="K79">
        <v>1500</v>
      </c>
      <c r="L79">
        <v>2023</v>
      </c>
    </row>
    <row r="80" spans="1:12" x14ac:dyDescent="0.35">
      <c r="A80">
        <v>79</v>
      </c>
      <c r="B80" s="1">
        <v>45034</v>
      </c>
      <c r="C80" s="2" t="s">
        <v>26</v>
      </c>
      <c r="D80" s="2" t="s">
        <v>107</v>
      </c>
      <c r="E80" s="2" t="s">
        <v>14</v>
      </c>
      <c r="F80">
        <v>34</v>
      </c>
      <c r="G80" s="2" t="s">
        <v>15</v>
      </c>
      <c r="H80">
        <v>1</v>
      </c>
      <c r="I80">
        <v>300</v>
      </c>
      <c r="J80">
        <v>300</v>
      </c>
      <c r="K80">
        <v>300</v>
      </c>
      <c r="L80">
        <v>2023</v>
      </c>
    </row>
    <row r="81" spans="1:12" x14ac:dyDescent="0.35">
      <c r="A81">
        <v>80</v>
      </c>
      <c r="B81" s="1">
        <v>45270</v>
      </c>
      <c r="C81" s="2" t="s">
        <v>31</v>
      </c>
      <c r="D81" s="2" t="s">
        <v>108</v>
      </c>
      <c r="E81" s="2" t="s">
        <v>18</v>
      </c>
      <c r="F81">
        <v>64</v>
      </c>
      <c r="G81" s="2" t="s">
        <v>19</v>
      </c>
      <c r="H81">
        <v>2</v>
      </c>
      <c r="I81">
        <v>30</v>
      </c>
      <c r="J81">
        <v>60</v>
      </c>
      <c r="K81">
        <v>60</v>
      </c>
      <c r="L81">
        <v>2023</v>
      </c>
    </row>
    <row r="82" spans="1:12" x14ac:dyDescent="0.35">
      <c r="A82">
        <v>81</v>
      </c>
      <c r="B82" s="1">
        <v>45063</v>
      </c>
      <c r="C82" s="2" t="s">
        <v>23</v>
      </c>
      <c r="D82" s="2" t="s">
        <v>109</v>
      </c>
      <c r="E82" s="2" t="s">
        <v>14</v>
      </c>
      <c r="F82">
        <v>40</v>
      </c>
      <c r="G82" s="2" t="s">
        <v>22</v>
      </c>
      <c r="H82">
        <v>1</v>
      </c>
      <c r="I82">
        <v>50</v>
      </c>
      <c r="J82">
        <v>50</v>
      </c>
      <c r="K82">
        <v>50</v>
      </c>
      <c r="L82">
        <v>2023</v>
      </c>
    </row>
    <row r="83" spans="1:12" x14ac:dyDescent="0.35">
      <c r="A83">
        <v>82</v>
      </c>
      <c r="B83" s="1">
        <v>45286</v>
      </c>
      <c r="C83" s="2" t="s">
        <v>31</v>
      </c>
      <c r="D83" s="2" t="s">
        <v>110</v>
      </c>
      <c r="E83" s="2" t="s">
        <v>18</v>
      </c>
      <c r="F83">
        <v>32</v>
      </c>
      <c r="G83" s="2" t="s">
        <v>15</v>
      </c>
      <c r="H83">
        <v>4</v>
      </c>
      <c r="I83">
        <v>50</v>
      </c>
      <c r="J83">
        <v>200</v>
      </c>
      <c r="K83">
        <v>200</v>
      </c>
      <c r="L83">
        <v>2023</v>
      </c>
    </row>
    <row r="84" spans="1:12" x14ac:dyDescent="0.35">
      <c r="A84">
        <v>83</v>
      </c>
      <c r="B84" s="1">
        <v>45276</v>
      </c>
      <c r="C84" s="2" t="s">
        <v>31</v>
      </c>
      <c r="D84" s="2" t="s">
        <v>111</v>
      </c>
      <c r="E84" s="2" t="s">
        <v>14</v>
      </c>
      <c r="F84">
        <v>54</v>
      </c>
      <c r="G84" s="2" t="s">
        <v>22</v>
      </c>
      <c r="H84">
        <v>2</v>
      </c>
      <c r="I84">
        <v>50</v>
      </c>
      <c r="J84">
        <v>100</v>
      </c>
      <c r="K84">
        <v>100</v>
      </c>
      <c r="L84">
        <v>2023</v>
      </c>
    </row>
    <row r="85" spans="1:12" x14ac:dyDescent="0.35">
      <c r="A85">
        <v>84</v>
      </c>
      <c r="B85" s="1">
        <v>45258</v>
      </c>
      <c r="C85" s="2" t="s">
        <v>12</v>
      </c>
      <c r="D85" s="2" t="s">
        <v>112</v>
      </c>
      <c r="E85" s="2" t="s">
        <v>18</v>
      </c>
      <c r="F85">
        <v>38</v>
      </c>
      <c r="G85" s="2" t="s">
        <v>22</v>
      </c>
      <c r="H85">
        <v>3</v>
      </c>
      <c r="I85">
        <v>30</v>
      </c>
      <c r="J85">
        <v>90</v>
      </c>
      <c r="K85">
        <v>90</v>
      </c>
      <c r="L85">
        <v>2023</v>
      </c>
    </row>
    <row r="86" spans="1:12" x14ac:dyDescent="0.35">
      <c r="A86">
        <v>85</v>
      </c>
      <c r="B86" s="1">
        <v>44963</v>
      </c>
      <c r="C86" s="2" t="s">
        <v>16</v>
      </c>
      <c r="D86" s="2" t="s">
        <v>113</v>
      </c>
      <c r="E86" s="2" t="s">
        <v>14</v>
      </c>
      <c r="F86">
        <v>31</v>
      </c>
      <c r="G86" s="2" t="s">
        <v>19</v>
      </c>
      <c r="H86">
        <v>3</v>
      </c>
      <c r="I86">
        <v>50</v>
      </c>
      <c r="J86">
        <v>150</v>
      </c>
      <c r="K86">
        <v>150</v>
      </c>
      <c r="L86">
        <v>2023</v>
      </c>
    </row>
    <row r="87" spans="1:12" x14ac:dyDescent="0.35">
      <c r="A87">
        <v>86</v>
      </c>
      <c r="B87" s="1">
        <v>45238</v>
      </c>
      <c r="C87" s="2" t="s">
        <v>12</v>
      </c>
      <c r="D87" s="2" t="s">
        <v>114</v>
      </c>
      <c r="E87" s="2" t="s">
        <v>14</v>
      </c>
      <c r="F87">
        <v>19</v>
      </c>
      <c r="G87" s="2" t="s">
        <v>15</v>
      </c>
      <c r="H87">
        <v>3</v>
      </c>
      <c r="I87">
        <v>30</v>
      </c>
      <c r="J87">
        <v>90</v>
      </c>
      <c r="K87">
        <v>90</v>
      </c>
      <c r="L87">
        <v>2023</v>
      </c>
    </row>
    <row r="88" spans="1:12" x14ac:dyDescent="0.35">
      <c r="A88">
        <v>87</v>
      </c>
      <c r="B88" s="1">
        <v>45252</v>
      </c>
      <c r="C88" s="2" t="s">
        <v>12</v>
      </c>
      <c r="D88" s="2" t="s">
        <v>115</v>
      </c>
      <c r="E88" s="2" t="s">
        <v>18</v>
      </c>
      <c r="F88">
        <v>28</v>
      </c>
      <c r="G88" s="2" t="s">
        <v>15</v>
      </c>
      <c r="H88">
        <v>2</v>
      </c>
      <c r="I88">
        <v>50</v>
      </c>
      <c r="J88">
        <v>100</v>
      </c>
      <c r="K88">
        <v>100</v>
      </c>
      <c r="L88">
        <v>2023</v>
      </c>
    </row>
    <row r="89" spans="1:12" x14ac:dyDescent="0.35">
      <c r="A89">
        <v>88</v>
      </c>
      <c r="B89" s="1">
        <v>45014</v>
      </c>
      <c r="C89" s="2" t="s">
        <v>28</v>
      </c>
      <c r="D89" s="2" t="s">
        <v>116</v>
      </c>
      <c r="E89" s="2" t="s">
        <v>14</v>
      </c>
      <c r="F89">
        <v>56</v>
      </c>
      <c r="G89" s="2" t="s">
        <v>19</v>
      </c>
      <c r="H89">
        <v>1</v>
      </c>
      <c r="I89">
        <v>500</v>
      </c>
      <c r="J89">
        <v>500</v>
      </c>
      <c r="K89">
        <v>500</v>
      </c>
      <c r="L89">
        <v>2023</v>
      </c>
    </row>
    <row r="90" spans="1:12" x14ac:dyDescent="0.35">
      <c r="A90">
        <v>89</v>
      </c>
      <c r="B90" s="1">
        <v>45200</v>
      </c>
      <c r="C90" s="2" t="s">
        <v>33</v>
      </c>
      <c r="D90" s="2" t="s">
        <v>117</v>
      </c>
      <c r="E90" s="2" t="s">
        <v>18</v>
      </c>
      <c r="F90">
        <v>55</v>
      </c>
      <c r="G90" s="2" t="s">
        <v>22</v>
      </c>
      <c r="H90">
        <v>4</v>
      </c>
      <c r="I90">
        <v>500</v>
      </c>
      <c r="J90">
        <v>2000</v>
      </c>
      <c r="K90">
        <v>2000</v>
      </c>
      <c r="L90">
        <v>2023</v>
      </c>
    </row>
    <row r="91" spans="1:12" x14ac:dyDescent="0.35">
      <c r="A91">
        <v>90</v>
      </c>
      <c r="B91" s="1">
        <v>45052</v>
      </c>
      <c r="C91" s="2" t="s">
        <v>23</v>
      </c>
      <c r="D91" s="2" t="s">
        <v>118</v>
      </c>
      <c r="E91" s="2" t="s">
        <v>18</v>
      </c>
      <c r="F91">
        <v>51</v>
      </c>
      <c r="G91" s="2" t="s">
        <v>22</v>
      </c>
      <c r="H91">
        <v>1</v>
      </c>
      <c r="I91">
        <v>30</v>
      </c>
      <c r="J91">
        <v>30</v>
      </c>
      <c r="K91">
        <v>30</v>
      </c>
      <c r="L91">
        <v>2023</v>
      </c>
    </row>
    <row r="92" spans="1:12" x14ac:dyDescent="0.35">
      <c r="A92">
        <v>91</v>
      </c>
      <c r="B92" s="1">
        <v>45010</v>
      </c>
      <c r="C92" s="2" t="s">
        <v>28</v>
      </c>
      <c r="D92" s="2" t="s">
        <v>119</v>
      </c>
      <c r="E92" s="2" t="s">
        <v>18</v>
      </c>
      <c r="F92">
        <v>55</v>
      </c>
      <c r="G92" s="2" t="s">
        <v>22</v>
      </c>
      <c r="H92">
        <v>1</v>
      </c>
      <c r="I92">
        <v>500</v>
      </c>
      <c r="J92">
        <v>500</v>
      </c>
      <c r="K92">
        <v>500</v>
      </c>
      <c r="L92">
        <v>2023</v>
      </c>
    </row>
    <row r="93" spans="1:12" x14ac:dyDescent="0.35">
      <c r="A93">
        <v>92</v>
      </c>
      <c r="B93" s="1">
        <v>45163</v>
      </c>
      <c r="C93" s="2" t="s">
        <v>37</v>
      </c>
      <c r="D93" s="2" t="s">
        <v>120</v>
      </c>
      <c r="E93" s="2" t="s">
        <v>18</v>
      </c>
      <c r="F93">
        <v>51</v>
      </c>
      <c r="G93" s="2" t="s">
        <v>22</v>
      </c>
      <c r="H93">
        <v>4</v>
      </c>
      <c r="I93">
        <v>30</v>
      </c>
      <c r="J93">
        <v>120</v>
      </c>
      <c r="K93">
        <v>120</v>
      </c>
      <c r="L93">
        <v>2023</v>
      </c>
    </row>
    <row r="94" spans="1:12" x14ac:dyDescent="0.35">
      <c r="A94">
        <v>93</v>
      </c>
      <c r="B94" s="1">
        <v>45121</v>
      </c>
      <c r="C94" s="2" t="s">
        <v>70</v>
      </c>
      <c r="D94" s="2" t="s">
        <v>121</v>
      </c>
      <c r="E94" s="2" t="s">
        <v>18</v>
      </c>
      <c r="F94">
        <v>35</v>
      </c>
      <c r="G94" s="2" t="s">
        <v>15</v>
      </c>
      <c r="H94">
        <v>4</v>
      </c>
      <c r="I94">
        <v>500</v>
      </c>
      <c r="J94">
        <v>2000</v>
      </c>
      <c r="K94">
        <v>2000</v>
      </c>
      <c r="L94">
        <v>2023</v>
      </c>
    </row>
    <row r="95" spans="1:12" x14ac:dyDescent="0.35">
      <c r="A95">
        <v>94</v>
      </c>
      <c r="B95" s="1">
        <v>45065</v>
      </c>
      <c r="C95" s="2" t="s">
        <v>23</v>
      </c>
      <c r="D95" s="2" t="s">
        <v>122</v>
      </c>
      <c r="E95" s="2" t="s">
        <v>18</v>
      </c>
      <c r="F95">
        <v>47</v>
      </c>
      <c r="G95" s="2" t="s">
        <v>15</v>
      </c>
      <c r="H95">
        <v>2</v>
      </c>
      <c r="I95">
        <v>500</v>
      </c>
      <c r="J95">
        <v>1000</v>
      </c>
      <c r="K95">
        <v>1000</v>
      </c>
      <c r="L95">
        <v>2023</v>
      </c>
    </row>
    <row r="96" spans="1:12" x14ac:dyDescent="0.35">
      <c r="A96">
        <v>95</v>
      </c>
      <c r="B96" s="1">
        <v>45254</v>
      </c>
      <c r="C96" s="2" t="s">
        <v>12</v>
      </c>
      <c r="D96" s="2" t="s">
        <v>123</v>
      </c>
      <c r="E96" s="2" t="s">
        <v>18</v>
      </c>
      <c r="F96">
        <v>32</v>
      </c>
      <c r="G96" s="2" t="s">
        <v>19</v>
      </c>
      <c r="H96">
        <v>2</v>
      </c>
      <c r="I96">
        <v>30</v>
      </c>
      <c r="J96">
        <v>60</v>
      </c>
      <c r="K96">
        <v>60</v>
      </c>
      <c r="L96">
        <v>2023</v>
      </c>
    </row>
    <row r="97" spans="1:12" x14ac:dyDescent="0.35">
      <c r="A97">
        <v>96</v>
      </c>
      <c r="B97" s="1">
        <v>45279</v>
      </c>
      <c r="C97" s="2" t="s">
        <v>31</v>
      </c>
      <c r="D97" s="2" t="s">
        <v>124</v>
      </c>
      <c r="E97" s="2" t="s">
        <v>18</v>
      </c>
      <c r="F97">
        <v>44</v>
      </c>
      <c r="G97" s="2" t="s">
        <v>19</v>
      </c>
      <c r="H97">
        <v>2</v>
      </c>
      <c r="I97">
        <v>300</v>
      </c>
      <c r="J97">
        <v>600</v>
      </c>
      <c r="K97">
        <v>600</v>
      </c>
      <c r="L97">
        <v>2023</v>
      </c>
    </row>
    <row r="98" spans="1:12" x14ac:dyDescent="0.35">
      <c r="A98">
        <v>97</v>
      </c>
      <c r="B98" s="1">
        <v>45212</v>
      </c>
      <c r="C98" s="2" t="s">
        <v>33</v>
      </c>
      <c r="D98" s="2" t="s">
        <v>125</v>
      </c>
      <c r="E98" s="2" t="s">
        <v>18</v>
      </c>
      <c r="F98">
        <v>51</v>
      </c>
      <c r="G98" s="2" t="s">
        <v>15</v>
      </c>
      <c r="H98">
        <v>2</v>
      </c>
      <c r="I98">
        <v>500</v>
      </c>
      <c r="J98">
        <v>1000</v>
      </c>
      <c r="K98">
        <v>1000</v>
      </c>
      <c r="L98">
        <v>2023</v>
      </c>
    </row>
    <row r="99" spans="1:12" x14ac:dyDescent="0.35">
      <c r="A99">
        <v>98</v>
      </c>
      <c r="B99" s="1">
        <v>45039</v>
      </c>
      <c r="C99" s="2" t="s">
        <v>26</v>
      </c>
      <c r="D99" s="2" t="s">
        <v>126</v>
      </c>
      <c r="E99" s="2" t="s">
        <v>18</v>
      </c>
      <c r="F99">
        <v>55</v>
      </c>
      <c r="G99" s="2" t="s">
        <v>15</v>
      </c>
      <c r="H99">
        <v>2</v>
      </c>
      <c r="I99">
        <v>50</v>
      </c>
      <c r="J99">
        <v>100</v>
      </c>
      <c r="K99">
        <v>100</v>
      </c>
      <c r="L99">
        <v>2023</v>
      </c>
    </row>
    <row r="100" spans="1:12" x14ac:dyDescent="0.35">
      <c r="A100">
        <v>99</v>
      </c>
      <c r="B100" s="1">
        <v>45277</v>
      </c>
      <c r="C100" s="2" t="s">
        <v>31</v>
      </c>
      <c r="D100" s="2" t="s">
        <v>127</v>
      </c>
      <c r="E100" s="2" t="s">
        <v>18</v>
      </c>
      <c r="F100">
        <v>50</v>
      </c>
      <c r="G100" s="2" t="s">
        <v>22</v>
      </c>
      <c r="H100">
        <v>4</v>
      </c>
      <c r="I100">
        <v>300</v>
      </c>
      <c r="J100">
        <v>1200</v>
      </c>
      <c r="K100">
        <v>1200</v>
      </c>
      <c r="L100">
        <v>2023</v>
      </c>
    </row>
    <row r="101" spans="1:12" x14ac:dyDescent="0.35">
      <c r="A101">
        <v>100</v>
      </c>
      <c r="B101" s="1">
        <v>45093</v>
      </c>
      <c r="C101" s="2" t="s">
        <v>62</v>
      </c>
      <c r="D101" s="2" t="s">
        <v>128</v>
      </c>
      <c r="E101" s="2" t="s">
        <v>14</v>
      </c>
      <c r="F101">
        <v>41</v>
      </c>
      <c r="G101" s="2" t="s">
        <v>22</v>
      </c>
      <c r="H101">
        <v>1</v>
      </c>
      <c r="I101">
        <v>30</v>
      </c>
      <c r="J101">
        <v>30</v>
      </c>
      <c r="K101">
        <v>30</v>
      </c>
      <c r="L101">
        <v>2023</v>
      </c>
    </row>
    <row r="102" spans="1:12" x14ac:dyDescent="0.35">
      <c r="A102">
        <v>101</v>
      </c>
      <c r="B102" s="1">
        <v>44955</v>
      </c>
      <c r="C102" s="2" t="s">
        <v>20</v>
      </c>
      <c r="D102" s="2" t="s">
        <v>129</v>
      </c>
      <c r="E102" s="2" t="s">
        <v>14</v>
      </c>
      <c r="F102">
        <v>32</v>
      </c>
      <c r="G102" s="2" t="s">
        <v>19</v>
      </c>
      <c r="H102">
        <v>2</v>
      </c>
      <c r="I102">
        <v>300</v>
      </c>
      <c r="J102">
        <v>600</v>
      </c>
      <c r="K102">
        <v>600</v>
      </c>
      <c r="L102">
        <v>2023</v>
      </c>
    </row>
    <row r="103" spans="1:12" x14ac:dyDescent="0.35">
      <c r="A103">
        <v>102</v>
      </c>
      <c r="B103" s="1">
        <v>45044</v>
      </c>
      <c r="C103" s="2" t="s">
        <v>26</v>
      </c>
      <c r="D103" s="2" t="s">
        <v>130</v>
      </c>
      <c r="E103" s="2" t="s">
        <v>18</v>
      </c>
      <c r="F103">
        <v>47</v>
      </c>
      <c r="G103" s="2" t="s">
        <v>15</v>
      </c>
      <c r="H103">
        <v>2</v>
      </c>
      <c r="I103">
        <v>25</v>
      </c>
      <c r="J103">
        <v>50</v>
      </c>
      <c r="K103">
        <v>50</v>
      </c>
      <c r="L103">
        <v>2023</v>
      </c>
    </row>
    <row r="104" spans="1:12" x14ac:dyDescent="0.35">
      <c r="A104">
        <v>103</v>
      </c>
      <c r="B104" s="1">
        <v>44943</v>
      </c>
      <c r="C104" s="2" t="s">
        <v>20</v>
      </c>
      <c r="D104" s="2" t="s">
        <v>131</v>
      </c>
      <c r="E104" s="2" t="s">
        <v>18</v>
      </c>
      <c r="F104">
        <v>59</v>
      </c>
      <c r="G104" s="2" t="s">
        <v>19</v>
      </c>
      <c r="H104">
        <v>1</v>
      </c>
      <c r="I104">
        <v>25</v>
      </c>
      <c r="J104">
        <v>25</v>
      </c>
      <c r="K104">
        <v>25</v>
      </c>
      <c r="L104">
        <v>2023</v>
      </c>
    </row>
    <row r="105" spans="1:12" x14ac:dyDescent="0.35">
      <c r="A105">
        <v>104</v>
      </c>
      <c r="B105" s="1">
        <v>45088</v>
      </c>
      <c r="C105" s="2" t="s">
        <v>62</v>
      </c>
      <c r="D105" s="2" t="s">
        <v>132</v>
      </c>
      <c r="E105" s="2" t="s">
        <v>18</v>
      </c>
      <c r="F105">
        <v>34</v>
      </c>
      <c r="G105" s="2" t="s">
        <v>15</v>
      </c>
      <c r="H105">
        <v>2</v>
      </c>
      <c r="I105">
        <v>500</v>
      </c>
      <c r="J105">
        <v>1000</v>
      </c>
      <c r="K105">
        <v>1000</v>
      </c>
      <c r="L105">
        <v>2023</v>
      </c>
    </row>
    <row r="106" spans="1:12" x14ac:dyDescent="0.35">
      <c r="A106">
        <v>105</v>
      </c>
      <c r="B106" s="1">
        <v>45132</v>
      </c>
      <c r="C106" s="2" t="s">
        <v>70</v>
      </c>
      <c r="D106" s="2" t="s">
        <v>133</v>
      </c>
      <c r="E106" s="2" t="s">
        <v>18</v>
      </c>
      <c r="F106">
        <v>22</v>
      </c>
      <c r="G106" s="2" t="s">
        <v>22</v>
      </c>
      <c r="H106">
        <v>1</v>
      </c>
      <c r="I106">
        <v>500</v>
      </c>
      <c r="J106">
        <v>500</v>
      </c>
      <c r="K106">
        <v>500</v>
      </c>
      <c r="L106">
        <v>2023</v>
      </c>
    </row>
    <row r="107" spans="1:12" x14ac:dyDescent="0.35">
      <c r="A107">
        <v>106</v>
      </c>
      <c r="B107" s="1">
        <v>45064</v>
      </c>
      <c r="C107" s="2" t="s">
        <v>23</v>
      </c>
      <c r="D107" s="2" t="s">
        <v>134</v>
      </c>
      <c r="E107" s="2" t="s">
        <v>18</v>
      </c>
      <c r="F107">
        <v>46</v>
      </c>
      <c r="G107" s="2" t="s">
        <v>19</v>
      </c>
      <c r="H107">
        <v>1</v>
      </c>
      <c r="I107">
        <v>50</v>
      </c>
      <c r="J107">
        <v>50</v>
      </c>
      <c r="K107">
        <v>50</v>
      </c>
      <c r="L107">
        <v>2023</v>
      </c>
    </row>
    <row r="108" spans="1:12" x14ac:dyDescent="0.35">
      <c r="A108">
        <v>107</v>
      </c>
      <c r="B108" s="1">
        <v>44960</v>
      </c>
      <c r="C108" s="2" t="s">
        <v>16</v>
      </c>
      <c r="D108" s="2" t="s">
        <v>135</v>
      </c>
      <c r="E108" s="2" t="s">
        <v>18</v>
      </c>
      <c r="F108">
        <v>21</v>
      </c>
      <c r="G108" s="2" t="s">
        <v>19</v>
      </c>
      <c r="H108">
        <v>4</v>
      </c>
      <c r="I108">
        <v>300</v>
      </c>
      <c r="J108">
        <v>1200</v>
      </c>
      <c r="K108">
        <v>1200</v>
      </c>
      <c r="L108">
        <v>2023</v>
      </c>
    </row>
    <row r="109" spans="1:12" x14ac:dyDescent="0.35">
      <c r="A109">
        <v>108</v>
      </c>
      <c r="B109" s="1">
        <v>45035</v>
      </c>
      <c r="C109" s="2" t="s">
        <v>26</v>
      </c>
      <c r="D109" s="2" t="s">
        <v>136</v>
      </c>
      <c r="E109" s="2" t="s">
        <v>18</v>
      </c>
      <c r="F109">
        <v>27</v>
      </c>
      <c r="G109" s="2" t="s">
        <v>15</v>
      </c>
      <c r="H109">
        <v>3</v>
      </c>
      <c r="I109">
        <v>25</v>
      </c>
      <c r="J109">
        <v>75</v>
      </c>
      <c r="K109">
        <v>75</v>
      </c>
      <c r="L109">
        <v>2023</v>
      </c>
    </row>
    <row r="110" spans="1:12" x14ac:dyDescent="0.35">
      <c r="A110">
        <v>109</v>
      </c>
      <c r="B110" s="1">
        <v>45217</v>
      </c>
      <c r="C110" s="2" t="s">
        <v>33</v>
      </c>
      <c r="D110" s="2" t="s">
        <v>137</v>
      </c>
      <c r="E110" s="2" t="s">
        <v>18</v>
      </c>
      <c r="F110">
        <v>34</v>
      </c>
      <c r="G110" s="2" t="s">
        <v>22</v>
      </c>
      <c r="H110">
        <v>4</v>
      </c>
      <c r="I110">
        <v>500</v>
      </c>
      <c r="J110">
        <v>2000</v>
      </c>
      <c r="K110">
        <v>2000</v>
      </c>
      <c r="L110">
        <v>2023</v>
      </c>
    </row>
    <row r="111" spans="1:12" x14ac:dyDescent="0.35">
      <c r="A111">
        <v>110</v>
      </c>
      <c r="B111" s="1">
        <v>45088</v>
      </c>
      <c r="C111" s="2" t="s">
        <v>62</v>
      </c>
      <c r="D111" s="2" t="s">
        <v>138</v>
      </c>
      <c r="E111" s="2" t="s">
        <v>14</v>
      </c>
      <c r="F111">
        <v>27</v>
      </c>
      <c r="G111" s="2" t="s">
        <v>19</v>
      </c>
      <c r="H111">
        <v>3</v>
      </c>
      <c r="I111">
        <v>300</v>
      </c>
      <c r="J111">
        <v>900</v>
      </c>
      <c r="K111">
        <v>900</v>
      </c>
      <c r="L111">
        <v>2023</v>
      </c>
    </row>
    <row r="112" spans="1:12" x14ac:dyDescent="0.35">
      <c r="A112">
        <v>111</v>
      </c>
      <c r="B112" s="1">
        <v>45035</v>
      </c>
      <c r="C112" s="2" t="s">
        <v>26</v>
      </c>
      <c r="D112" s="2" t="s">
        <v>139</v>
      </c>
      <c r="E112" s="2" t="s">
        <v>18</v>
      </c>
      <c r="F112">
        <v>34</v>
      </c>
      <c r="G112" s="2" t="s">
        <v>22</v>
      </c>
      <c r="H112">
        <v>3</v>
      </c>
      <c r="I112">
        <v>500</v>
      </c>
      <c r="J112">
        <v>1500</v>
      </c>
      <c r="K112">
        <v>1500</v>
      </c>
      <c r="L112">
        <v>2023</v>
      </c>
    </row>
    <row r="113" spans="1:24" x14ac:dyDescent="0.35">
      <c r="A113">
        <v>112</v>
      </c>
      <c r="B113" s="1">
        <v>45262</v>
      </c>
      <c r="C113" s="2" t="s">
        <v>31</v>
      </c>
      <c r="D113" s="2" t="s">
        <v>140</v>
      </c>
      <c r="E113" s="2" t="s">
        <v>14</v>
      </c>
      <c r="F113">
        <v>37</v>
      </c>
      <c r="G113" s="2" t="s">
        <v>19</v>
      </c>
      <c r="H113">
        <v>3</v>
      </c>
      <c r="I113">
        <v>500</v>
      </c>
      <c r="J113">
        <v>1500</v>
      </c>
      <c r="K113">
        <v>1500</v>
      </c>
      <c r="L113">
        <v>2023</v>
      </c>
    </row>
    <row r="114" spans="1:24" x14ac:dyDescent="0.35">
      <c r="A114">
        <v>113</v>
      </c>
      <c r="B114" s="1">
        <v>45182</v>
      </c>
      <c r="C114" s="2" t="s">
        <v>44</v>
      </c>
      <c r="D114" s="2" t="s">
        <v>141</v>
      </c>
      <c r="E114" s="2" t="s">
        <v>18</v>
      </c>
      <c r="F114">
        <v>41</v>
      </c>
      <c r="G114" s="2" t="s">
        <v>22</v>
      </c>
      <c r="H114">
        <v>2</v>
      </c>
      <c r="I114">
        <v>25</v>
      </c>
      <c r="J114">
        <v>50</v>
      </c>
      <c r="K114">
        <v>50</v>
      </c>
      <c r="L114">
        <v>2023</v>
      </c>
    </row>
    <row r="115" spans="1:24" x14ac:dyDescent="0.35">
      <c r="A115">
        <v>114</v>
      </c>
      <c r="B115" s="1">
        <v>45129</v>
      </c>
      <c r="C115" s="2" t="s">
        <v>70</v>
      </c>
      <c r="D115" s="2" t="s">
        <v>142</v>
      </c>
      <c r="E115" s="2" t="s">
        <v>18</v>
      </c>
      <c r="F115">
        <v>22</v>
      </c>
      <c r="G115" s="2" t="s">
        <v>15</v>
      </c>
      <c r="H115">
        <v>4</v>
      </c>
      <c r="I115">
        <v>25</v>
      </c>
      <c r="J115">
        <v>100</v>
      </c>
      <c r="K115">
        <v>100</v>
      </c>
      <c r="L115">
        <v>2023</v>
      </c>
    </row>
    <row r="116" spans="1:24" x14ac:dyDescent="0.35">
      <c r="A116">
        <v>115</v>
      </c>
      <c r="B116" s="1">
        <v>45256</v>
      </c>
      <c r="C116" s="2" t="s">
        <v>12</v>
      </c>
      <c r="D116" s="2" t="s">
        <v>143</v>
      </c>
      <c r="E116" s="2" t="s">
        <v>14</v>
      </c>
      <c r="F116">
        <v>51</v>
      </c>
      <c r="G116" s="2" t="s">
        <v>19</v>
      </c>
      <c r="H116">
        <v>3</v>
      </c>
      <c r="I116">
        <v>500</v>
      </c>
      <c r="J116">
        <v>1500</v>
      </c>
      <c r="K116">
        <v>1500</v>
      </c>
      <c r="L116">
        <v>2023</v>
      </c>
    </row>
    <row r="117" spans="1:24" x14ac:dyDescent="0.35">
      <c r="A117">
        <v>116</v>
      </c>
      <c r="B117" s="1">
        <v>45161</v>
      </c>
      <c r="C117" s="2" t="s">
        <v>37</v>
      </c>
      <c r="D117" s="2" t="s">
        <v>144</v>
      </c>
      <c r="E117" s="2" t="s">
        <v>18</v>
      </c>
      <c r="F117">
        <v>23</v>
      </c>
      <c r="G117" s="2" t="s">
        <v>19</v>
      </c>
      <c r="H117">
        <v>1</v>
      </c>
      <c r="I117">
        <v>30</v>
      </c>
      <c r="J117">
        <v>30</v>
      </c>
      <c r="K117">
        <v>30</v>
      </c>
      <c r="L117">
        <v>2023</v>
      </c>
    </row>
    <row r="118" spans="1:24" x14ac:dyDescent="0.35">
      <c r="A118">
        <v>117</v>
      </c>
      <c r="B118" s="1">
        <v>45000</v>
      </c>
      <c r="C118" s="2" t="s">
        <v>28</v>
      </c>
      <c r="D118" s="2" t="s">
        <v>145</v>
      </c>
      <c r="E118" s="2" t="s">
        <v>14</v>
      </c>
      <c r="F118">
        <v>19</v>
      </c>
      <c r="G118" s="2" t="s">
        <v>22</v>
      </c>
      <c r="H118">
        <v>2</v>
      </c>
      <c r="I118">
        <v>500</v>
      </c>
      <c r="J118">
        <v>1000</v>
      </c>
      <c r="K118">
        <v>1000</v>
      </c>
      <c r="L118">
        <v>2023</v>
      </c>
    </row>
    <row r="119" spans="1:24" x14ac:dyDescent="0.35">
      <c r="A119">
        <v>118</v>
      </c>
      <c r="B119" s="1">
        <v>45062</v>
      </c>
      <c r="C119" s="2" t="s">
        <v>23</v>
      </c>
      <c r="D119" s="2" t="s">
        <v>146</v>
      </c>
      <c r="E119" s="2" t="s">
        <v>18</v>
      </c>
      <c r="F119">
        <v>30</v>
      </c>
      <c r="G119" s="2" t="s">
        <v>22</v>
      </c>
      <c r="H119">
        <v>4</v>
      </c>
      <c r="I119">
        <v>500</v>
      </c>
      <c r="J119">
        <v>2000</v>
      </c>
      <c r="K119">
        <v>2000</v>
      </c>
      <c r="L119">
        <v>2023</v>
      </c>
    </row>
    <row r="120" spans="1:24" x14ac:dyDescent="0.35">
      <c r="A120">
        <v>119</v>
      </c>
      <c r="B120" s="1">
        <v>44998</v>
      </c>
      <c r="C120" s="2" t="s">
        <v>28</v>
      </c>
      <c r="D120" s="2" t="s">
        <v>147</v>
      </c>
      <c r="E120" s="2" t="s">
        <v>18</v>
      </c>
      <c r="F120">
        <v>60</v>
      </c>
      <c r="G120" s="2" t="s">
        <v>19</v>
      </c>
      <c r="H120">
        <v>3</v>
      </c>
      <c r="I120">
        <v>50</v>
      </c>
      <c r="J120">
        <v>150</v>
      </c>
      <c r="K120">
        <v>150</v>
      </c>
      <c r="L120">
        <v>2023</v>
      </c>
    </row>
    <row r="121" spans="1:24" x14ac:dyDescent="0.35">
      <c r="A121">
        <v>120</v>
      </c>
      <c r="B121" s="1">
        <v>45053</v>
      </c>
      <c r="C121" s="2" t="s">
        <v>23</v>
      </c>
      <c r="D121" s="2" t="s">
        <v>148</v>
      </c>
      <c r="E121" s="2" t="s">
        <v>14</v>
      </c>
      <c r="F121">
        <v>60</v>
      </c>
      <c r="G121" s="2" t="s">
        <v>15</v>
      </c>
      <c r="H121">
        <v>1</v>
      </c>
      <c r="I121">
        <v>50</v>
      </c>
      <c r="J121">
        <v>50</v>
      </c>
      <c r="K121">
        <v>50</v>
      </c>
      <c r="L121">
        <v>2023</v>
      </c>
      <c r="M121" cm="1">
        <f t="array" ref="M121:X1120">cleaned_transactions[]</f>
        <v>1</v>
      </c>
      <c r="N121">
        <v>45254</v>
      </c>
      <c r="O121" t="str">
        <v>November</v>
      </c>
      <c r="P121" t="str">
        <v>CUST001</v>
      </c>
      <c r="Q121" t="str">
        <v>Male</v>
      </c>
      <c r="R121">
        <v>34</v>
      </c>
      <c r="S121" t="str">
        <v>Beauty</v>
      </c>
      <c r="T121">
        <v>3</v>
      </c>
      <c r="U121">
        <v>50</v>
      </c>
      <c r="V121">
        <v>150</v>
      </c>
      <c r="W121">
        <v>150</v>
      </c>
      <c r="X121">
        <v>2023</v>
      </c>
    </row>
    <row r="122" spans="1:24" x14ac:dyDescent="0.35">
      <c r="A122">
        <v>121</v>
      </c>
      <c r="B122" s="1">
        <v>45214</v>
      </c>
      <c r="C122" s="2" t="s">
        <v>33</v>
      </c>
      <c r="D122" s="2" t="s">
        <v>149</v>
      </c>
      <c r="E122" s="2" t="s">
        <v>18</v>
      </c>
      <c r="F122">
        <v>28</v>
      </c>
      <c r="G122" s="2" t="s">
        <v>22</v>
      </c>
      <c r="H122">
        <v>4</v>
      </c>
      <c r="I122">
        <v>50</v>
      </c>
      <c r="J122">
        <v>200</v>
      </c>
      <c r="K122">
        <v>200</v>
      </c>
      <c r="L122">
        <v>2023</v>
      </c>
      <c r="M122">
        <v>2</v>
      </c>
      <c r="N122">
        <v>44984</v>
      </c>
      <c r="O122" t="str">
        <v>February</v>
      </c>
      <c r="P122" t="str">
        <v>CUST002</v>
      </c>
      <c r="Q122" t="str">
        <v>Female</v>
      </c>
      <c r="R122">
        <v>26</v>
      </c>
      <c r="S122" t="str">
        <v>Clothing</v>
      </c>
      <c r="T122">
        <v>2</v>
      </c>
      <c r="U122">
        <v>500</v>
      </c>
      <c r="V122">
        <v>1000</v>
      </c>
      <c r="W122">
        <v>1000</v>
      </c>
      <c r="X122">
        <v>2023</v>
      </c>
    </row>
    <row r="123" spans="1:24" x14ac:dyDescent="0.35">
      <c r="A123">
        <v>122</v>
      </c>
      <c r="B123" s="1">
        <v>45202</v>
      </c>
      <c r="C123" s="2" t="s">
        <v>33</v>
      </c>
      <c r="D123" s="2" t="s">
        <v>150</v>
      </c>
      <c r="E123" s="2" t="s">
        <v>14</v>
      </c>
      <c r="F123">
        <v>64</v>
      </c>
      <c r="G123" s="2" t="s">
        <v>22</v>
      </c>
      <c r="H123">
        <v>4</v>
      </c>
      <c r="I123">
        <v>30</v>
      </c>
      <c r="J123">
        <v>120</v>
      </c>
      <c r="K123">
        <v>120</v>
      </c>
      <c r="L123">
        <v>2023</v>
      </c>
      <c r="M123">
        <v>3</v>
      </c>
      <c r="N123">
        <v>44939</v>
      </c>
      <c r="O123" t="str">
        <v>January</v>
      </c>
      <c r="P123" t="str">
        <v>CUST003</v>
      </c>
      <c r="Q123" t="str">
        <v>Male</v>
      </c>
      <c r="R123">
        <v>50</v>
      </c>
      <c r="S123" t="str">
        <v>Electronics</v>
      </c>
      <c r="T123">
        <v>1</v>
      </c>
      <c r="U123">
        <v>30</v>
      </c>
      <c r="V123">
        <v>30</v>
      </c>
      <c r="W123">
        <v>30</v>
      </c>
      <c r="X123">
        <v>2023</v>
      </c>
    </row>
    <row r="124" spans="1:24" x14ac:dyDescent="0.35">
      <c r="A124">
        <v>123</v>
      </c>
      <c r="B124" s="1">
        <v>45061</v>
      </c>
      <c r="C124" s="2" t="s">
        <v>23</v>
      </c>
      <c r="D124" s="2" t="s">
        <v>151</v>
      </c>
      <c r="E124" s="2" t="s">
        <v>18</v>
      </c>
      <c r="F124">
        <v>40</v>
      </c>
      <c r="G124" s="2" t="s">
        <v>22</v>
      </c>
      <c r="H124">
        <v>2</v>
      </c>
      <c r="I124">
        <v>30</v>
      </c>
      <c r="J124">
        <v>60</v>
      </c>
      <c r="K124">
        <v>60</v>
      </c>
      <c r="L124">
        <v>2023</v>
      </c>
      <c r="M124">
        <v>4</v>
      </c>
      <c r="N124">
        <v>45067</v>
      </c>
      <c r="O124" t="str">
        <v>May</v>
      </c>
      <c r="P124" t="str">
        <v>CUST004</v>
      </c>
      <c r="Q124" t="str">
        <v>Male</v>
      </c>
      <c r="R124">
        <v>37</v>
      </c>
      <c r="S124" t="str">
        <v>Clothing</v>
      </c>
      <c r="T124">
        <v>1</v>
      </c>
      <c r="U124">
        <v>500</v>
      </c>
      <c r="V124">
        <v>500</v>
      </c>
      <c r="W124">
        <v>500</v>
      </c>
      <c r="X124">
        <v>2023</v>
      </c>
    </row>
    <row r="125" spans="1:24" x14ac:dyDescent="0.35">
      <c r="A125">
        <v>124</v>
      </c>
      <c r="B125" s="1">
        <v>45226</v>
      </c>
      <c r="C125" s="2" t="s">
        <v>33</v>
      </c>
      <c r="D125" s="2" t="s">
        <v>152</v>
      </c>
      <c r="E125" s="2" t="s">
        <v>14</v>
      </c>
      <c r="F125">
        <v>33</v>
      </c>
      <c r="G125" s="2" t="s">
        <v>19</v>
      </c>
      <c r="H125">
        <v>4</v>
      </c>
      <c r="I125">
        <v>500</v>
      </c>
      <c r="J125">
        <v>2000</v>
      </c>
      <c r="K125">
        <v>2000</v>
      </c>
      <c r="L125">
        <v>2023</v>
      </c>
      <c r="M125">
        <v>5</v>
      </c>
      <c r="N125">
        <v>45052</v>
      </c>
      <c r="O125" t="str">
        <v>May</v>
      </c>
      <c r="P125" t="str">
        <v>CUST005</v>
      </c>
      <c r="Q125" t="str">
        <v>Male</v>
      </c>
      <c r="R125">
        <v>30</v>
      </c>
      <c r="S125" t="str">
        <v>Beauty</v>
      </c>
      <c r="T125">
        <v>2</v>
      </c>
      <c r="U125">
        <v>50</v>
      </c>
      <c r="V125">
        <v>100</v>
      </c>
      <c r="W125">
        <v>100</v>
      </c>
      <c r="X125">
        <v>2023</v>
      </c>
    </row>
    <row r="126" spans="1:24" x14ac:dyDescent="0.35">
      <c r="A126">
        <v>125</v>
      </c>
      <c r="B126" s="1">
        <v>45146</v>
      </c>
      <c r="C126" s="2" t="s">
        <v>37</v>
      </c>
      <c r="D126" s="2" t="s">
        <v>153</v>
      </c>
      <c r="E126" s="2" t="s">
        <v>14</v>
      </c>
      <c r="F126">
        <v>48</v>
      </c>
      <c r="G126" s="2" t="s">
        <v>19</v>
      </c>
      <c r="H126">
        <v>2</v>
      </c>
      <c r="I126">
        <v>50</v>
      </c>
      <c r="J126">
        <v>100</v>
      </c>
      <c r="K126">
        <v>100</v>
      </c>
      <c r="L126">
        <v>2023</v>
      </c>
      <c r="M126">
        <v>6</v>
      </c>
      <c r="N126">
        <v>45041</v>
      </c>
      <c r="O126" t="str">
        <v>April</v>
      </c>
      <c r="P126" t="str">
        <v>CUST006</v>
      </c>
      <c r="Q126" t="str">
        <v>Female</v>
      </c>
      <c r="R126">
        <v>45</v>
      </c>
      <c r="S126" t="str">
        <v>Beauty</v>
      </c>
      <c r="T126">
        <v>1</v>
      </c>
      <c r="U126">
        <v>30</v>
      </c>
      <c r="V126">
        <v>30</v>
      </c>
      <c r="W126">
        <v>30</v>
      </c>
      <c r="X126">
        <v>2023</v>
      </c>
    </row>
    <row r="127" spans="1:24" x14ac:dyDescent="0.35">
      <c r="A127">
        <v>126</v>
      </c>
      <c r="B127" s="1">
        <v>45225</v>
      </c>
      <c r="C127" s="2" t="s">
        <v>33</v>
      </c>
      <c r="D127" s="2" t="s">
        <v>154</v>
      </c>
      <c r="E127" s="2" t="s">
        <v>18</v>
      </c>
      <c r="F127">
        <v>28</v>
      </c>
      <c r="G127" s="2" t="s">
        <v>19</v>
      </c>
      <c r="H127">
        <v>3</v>
      </c>
      <c r="I127">
        <v>30</v>
      </c>
      <c r="J127">
        <v>90</v>
      </c>
      <c r="K127">
        <v>90</v>
      </c>
      <c r="L127">
        <v>2023</v>
      </c>
      <c r="M127">
        <v>7</v>
      </c>
      <c r="N127">
        <v>44998</v>
      </c>
      <c r="O127" t="str">
        <v>March</v>
      </c>
      <c r="P127" t="str">
        <v>CUST007</v>
      </c>
      <c r="Q127" t="str">
        <v>Male</v>
      </c>
      <c r="R127">
        <v>46</v>
      </c>
      <c r="S127" t="str">
        <v>Clothing</v>
      </c>
      <c r="T127">
        <v>2</v>
      </c>
      <c r="U127">
        <v>25</v>
      </c>
      <c r="V127">
        <v>50</v>
      </c>
      <c r="W127">
        <v>50</v>
      </c>
      <c r="X127">
        <v>2023</v>
      </c>
    </row>
    <row r="128" spans="1:24" x14ac:dyDescent="0.35">
      <c r="A128">
        <v>127</v>
      </c>
      <c r="B128" s="1">
        <v>45131</v>
      </c>
      <c r="C128" s="2" t="s">
        <v>70</v>
      </c>
      <c r="D128" s="2" t="s">
        <v>155</v>
      </c>
      <c r="E128" s="2" t="s">
        <v>18</v>
      </c>
      <c r="F128">
        <v>33</v>
      </c>
      <c r="G128" s="2" t="s">
        <v>19</v>
      </c>
      <c r="H128">
        <v>2</v>
      </c>
      <c r="I128">
        <v>25</v>
      </c>
      <c r="J128">
        <v>50</v>
      </c>
      <c r="K128">
        <v>50</v>
      </c>
      <c r="L128">
        <v>2023</v>
      </c>
      <c r="M128">
        <v>8</v>
      </c>
      <c r="N128">
        <v>44979</v>
      </c>
      <c r="O128" t="str">
        <v>February</v>
      </c>
      <c r="P128" t="str">
        <v>CUST008</v>
      </c>
      <c r="Q128" t="str">
        <v>Male</v>
      </c>
      <c r="R128">
        <v>30</v>
      </c>
      <c r="S128" t="str">
        <v>Electronics</v>
      </c>
      <c r="T128">
        <v>4</v>
      </c>
      <c r="U128">
        <v>25</v>
      </c>
      <c r="V128">
        <v>100</v>
      </c>
      <c r="W128">
        <v>100</v>
      </c>
      <c r="X128">
        <v>2023</v>
      </c>
    </row>
    <row r="129" spans="1:24" x14ac:dyDescent="0.35">
      <c r="A129">
        <v>128</v>
      </c>
      <c r="B129" s="1">
        <v>45112</v>
      </c>
      <c r="C129" s="2" t="s">
        <v>70</v>
      </c>
      <c r="D129" s="2" t="s">
        <v>156</v>
      </c>
      <c r="E129" s="2" t="s">
        <v>14</v>
      </c>
      <c r="F129">
        <v>25</v>
      </c>
      <c r="G129" s="2" t="s">
        <v>15</v>
      </c>
      <c r="H129">
        <v>1</v>
      </c>
      <c r="I129">
        <v>500</v>
      </c>
      <c r="J129">
        <v>500</v>
      </c>
      <c r="K129">
        <v>500</v>
      </c>
      <c r="L129">
        <v>2023</v>
      </c>
      <c r="M129">
        <v>9</v>
      </c>
      <c r="N129">
        <v>45273</v>
      </c>
      <c r="O129" t="str">
        <v>December</v>
      </c>
      <c r="P129" t="str">
        <v>CUST009</v>
      </c>
      <c r="Q129" t="str">
        <v>Male</v>
      </c>
      <c r="R129">
        <v>63</v>
      </c>
      <c r="S129" t="str">
        <v>Electronics</v>
      </c>
      <c r="T129">
        <v>2</v>
      </c>
      <c r="U129">
        <v>300</v>
      </c>
      <c r="V129">
        <v>600</v>
      </c>
      <c r="W129">
        <v>600</v>
      </c>
      <c r="X129">
        <v>2023</v>
      </c>
    </row>
    <row r="130" spans="1:24" x14ac:dyDescent="0.35">
      <c r="A130">
        <v>129</v>
      </c>
      <c r="B130" s="1">
        <v>45039</v>
      </c>
      <c r="C130" s="2" t="s">
        <v>26</v>
      </c>
      <c r="D130" s="2" t="s">
        <v>157</v>
      </c>
      <c r="E130" s="2" t="s">
        <v>18</v>
      </c>
      <c r="F130">
        <v>21</v>
      </c>
      <c r="G130" s="2" t="s">
        <v>15</v>
      </c>
      <c r="H130">
        <v>2</v>
      </c>
      <c r="I130">
        <v>300</v>
      </c>
      <c r="J130">
        <v>600</v>
      </c>
      <c r="K130">
        <v>600</v>
      </c>
      <c r="L130">
        <v>2023</v>
      </c>
      <c r="M130">
        <v>10</v>
      </c>
      <c r="N130">
        <v>45206</v>
      </c>
      <c r="O130" t="str">
        <v>October</v>
      </c>
      <c r="P130" t="str">
        <v>CUST010</v>
      </c>
      <c r="Q130" t="str">
        <v>Female</v>
      </c>
      <c r="R130">
        <v>52</v>
      </c>
      <c r="S130" t="str">
        <v>Clothing</v>
      </c>
      <c r="T130">
        <v>4</v>
      </c>
      <c r="U130">
        <v>50</v>
      </c>
      <c r="V130">
        <v>200</v>
      </c>
      <c r="W130">
        <v>200</v>
      </c>
      <c r="X130">
        <v>2023</v>
      </c>
    </row>
    <row r="131" spans="1:24" x14ac:dyDescent="0.35">
      <c r="A131">
        <v>130</v>
      </c>
      <c r="B131" s="1">
        <v>44997</v>
      </c>
      <c r="C131" s="2" t="s">
        <v>28</v>
      </c>
      <c r="D131" s="2" t="s">
        <v>158</v>
      </c>
      <c r="E131" s="2" t="s">
        <v>18</v>
      </c>
      <c r="F131">
        <v>57</v>
      </c>
      <c r="G131" s="2" t="s">
        <v>19</v>
      </c>
      <c r="H131">
        <v>1</v>
      </c>
      <c r="I131">
        <v>500</v>
      </c>
      <c r="J131">
        <v>500</v>
      </c>
      <c r="K131">
        <v>500</v>
      </c>
      <c r="L131">
        <v>2023</v>
      </c>
      <c r="M131">
        <v>11</v>
      </c>
      <c r="N131">
        <v>44971</v>
      </c>
      <c r="O131" t="str">
        <v>February</v>
      </c>
      <c r="P131" t="str">
        <v>CUST011</v>
      </c>
      <c r="Q131" t="str">
        <v>Male</v>
      </c>
      <c r="R131">
        <v>23</v>
      </c>
      <c r="S131" t="str">
        <v>Clothing</v>
      </c>
      <c r="T131">
        <v>2</v>
      </c>
      <c r="U131">
        <v>50</v>
      </c>
      <c r="V131">
        <v>100</v>
      </c>
      <c r="W131">
        <v>100</v>
      </c>
      <c r="X131">
        <v>2023</v>
      </c>
    </row>
    <row r="132" spans="1:24" x14ac:dyDescent="0.35">
      <c r="A132">
        <v>131</v>
      </c>
      <c r="B132" s="1">
        <v>45187</v>
      </c>
      <c r="C132" s="2" t="s">
        <v>44</v>
      </c>
      <c r="D132" s="2" t="s">
        <v>159</v>
      </c>
      <c r="E132" s="2" t="s">
        <v>18</v>
      </c>
      <c r="F132">
        <v>21</v>
      </c>
      <c r="G132" s="2" t="s">
        <v>15</v>
      </c>
      <c r="H132">
        <v>2</v>
      </c>
      <c r="I132">
        <v>300</v>
      </c>
      <c r="J132">
        <v>600</v>
      </c>
      <c r="K132">
        <v>600</v>
      </c>
      <c r="L132">
        <v>2023</v>
      </c>
      <c r="M132">
        <v>12</v>
      </c>
      <c r="N132">
        <v>45229</v>
      </c>
      <c r="O132" t="str">
        <v>October</v>
      </c>
      <c r="P132" t="str">
        <v>CUST012</v>
      </c>
      <c r="Q132" t="str">
        <v>Male</v>
      </c>
      <c r="R132">
        <v>35</v>
      </c>
      <c r="S132" t="str">
        <v>Beauty</v>
      </c>
      <c r="T132">
        <v>3</v>
      </c>
      <c r="U132">
        <v>25</v>
      </c>
      <c r="V132">
        <v>75</v>
      </c>
      <c r="W132">
        <v>75</v>
      </c>
      <c r="X132">
        <v>2023</v>
      </c>
    </row>
    <row r="133" spans="1:24" x14ac:dyDescent="0.35">
      <c r="A133">
        <v>132</v>
      </c>
      <c r="B133" s="1">
        <v>45179</v>
      </c>
      <c r="C133" s="2" t="s">
        <v>44</v>
      </c>
      <c r="D133" s="2" t="s">
        <v>160</v>
      </c>
      <c r="E133" s="2" t="s">
        <v>14</v>
      </c>
      <c r="F133">
        <v>42</v>
      </c>
      <c r="G133" s="2" t="s">
        <v>22</v>
      </c>
      <c r="H133">
        <v>4</v>
      </c>
      <c r="I133">
        <v>50</v>
      </c>
      <c r="J133">
        <v>200</v>
      </c>
      <c r="K133">
        <v>200</v>
      </c>
      <c r="L133">
        <v>2023</v>
      </c>
      <c r="M133">
        <v>13</v>
      </c>
      <c r="N133">
        <v>45143</v>
      </c>
      <c r="O133" t="str">
        <v>August</v>
      </c>
      <c r="P133" t="str">
        <v>CUST013</v>
      </c>
      <c r="Q133" t="str">
        <v>Male</v>
      </c>
      <c r="R133">
        <v>22</v>
      </c>
      <c r="S133" t="str">
        <v>Electronics</v>
      </c>
      <c r="T133">
        <v>3</v>
      </c>
      <c r="U133">
        <v>500</v>
      </c>
      <c r="V133">
        <v>1500</v>
      </c>
      <c r="W133">
        <v>1500</v>
      </c>
      <c r="X133">
        <v>2023</v>
      </c>
    </row>
    <row r="134" spans="1:24" x14ac:dyDescent="0.35">
      <c r="A134">
        <v>133</v>
      </c>
      <c r="B134" s="1">
        <v>44973</v>
      </c>
      <c r="C134" s="2" t="s">
        <v>16</v>
      </c>
      <c r="D134" s="2" t="s">
        <v>161</v>
      </c>
      <c r="E134" s="2" t="s">
        <v>14</v>
      </c>
      <c r="F134">
        <v>20</v>
      </c>
      <c r="G134" s="2" t="s">
        <v>22</v>
      </c>
      <c r="H134">
        <v>3</v>
      </c>
      <c r="I134">
        <v>300</v>
      </c>
      <c r="J134">
        <v>900</v>
      </c>
      <c r="K134">
        <v>900</v>
      </c>
      <c r="L134">
        <v>2023</v>
      </c>
      <c r="M134">
        <v>14</v>
      </c>
      <c r="N134">
        <v>44943</v>
      </c>
      <c r="O134" t="str">
        <v>January</v>
      </c>
      <c r="P134" t="str">
        <v>CUST014</v>
      </c>
      <c r="Q134" t="str">
        <v>Male</v>
      </c>
      <c r="R134">
        <v>64</v>
      </c>
      <c r="S134" t="str">
        <v>Clothing</v>
      </c>
      <c r="T134">
        <v>4</v>
      </c>
      <c r="U134">
        <v>30</v>
      </c>
      <c r="V134">
        <v>120</v>
      </c>
      <c r="W134">
        <v>120</v>
      </c>
      <c r="X134">
        <v>2023</v>
      </c>
    </row>
    <row r="135" spans="1:24" x14ac:dyDescent="0.35">
      <c r="A135">
        <v>134</v>
      </c>
      <c r="B135" s="1">
        <v>44951</v>
      </c>
      <c r="C135" s="2" t="s">
        <v>20</v>
      </c>
      <c r="D135" s="2" t="s">
        <v>162</v>
      </c>
      <c r="E135" s="2" t="s">
        <v>14</v>
      </c>
      <c r="F135">
        <v>49</v>
      </c>
      <c r="G135" s="2" t="s">
        <v>22</v>
      </c>
      <c r="H135">
        <v>1</v>
      </c>
      <c r="I135">
        <v>50</v>
      </c>
      <c r="J135">
        <v>50</v>
      </c>
      <c r="K135">
        <v>50</v>
      </c>
      <c r="L135">
        <v>2023</v>
      </c>
      <c r="M135">
        <v>15</v>
      </c>
      <c r="N135">
        <v>44942</v>
      </c>
      <c r="O135" t="str">
        <v>January</v>
      </c>
      <c r="P135" t="str">
        <v>CUST015</v>
      </c>
      <c r="Q135" t="str">
        <v>Female</v>
      </c>
      <c r="R135">
        <v>42</v>
      </c>
      <c r="S135" t="str">
        <v>Electronics</v>
      </c>
      <c r="T135">
        <v>4</v>
      </c>
      <c r="U135">
        <v>500</v>
      </c>
      <c r="V135">
        <v>2000</v>
      </c>
      <c r="W135">
        <v>2000</v>
      </c>
      <c r="X135">
        <v>2023</v>
      </c>
    </row>
    <row r="136" spans="1:24" x14ac:dyDescent="0.35">
      <c r="A136">
        <v>135</v>
      </c>
      <c r="B136" s="1">
        <v>44983</v>
      </c>
      <c r="C136" s="2" t="s">
        <v>16</v>
      </c>
      <c r="D136" s="2" t="s">
        <v>163</v>
      </c>
      <c r="E136" s="2" t="s">
        <v>14</v>
      </c>
      <c r="F136">
        <v>20</v>
      </c>
      <c r="G136" s="2" t="s">
        <v>19</v>
      </c>
      <c r="H136">
        <v>2</v>
      </c>
      <c r="I136">
        <v>25</v>
      </c>
      <c r="J136">
        <v>50</v>
      </c>
      <c r="K136">
        <v>50</v>
      </c>
      <c r="L136">
        <v>2023</v>
      </c>
      <c r="M136">
        <v>16</v>
      </c>
      <c r="N136">
        <v>44974</v>
      </c>
      <c r="O136" t="str">
        <v>February</v>
      </c>
      <c r="P136" t="str">
        <v>CUST016</v>
      </c>
      <c r="Q136" t="str">
        <v>Male</v>
      </c>
      <c r="R136">
        <v>19</v>
      </c>
      <c r="S136" t="str">
        <v>Clothing</v>
      </c>
      <c r="T136">
        <v>3</v>
      </c>
      <c r="U136">
        <v>500</v>
      </c>
      <c r="V136">
        <v>1500</v>
      </c>
      <c r="W136">
        <v>1500</v>
      </c>
      <c r="X136">
        <v>2023</v>
      </c>
    </row>
    <row r="137" spans="1:24" x14ac:dyDescent="0.35">
      <c r="A137">
        <v>136</v>
      </c>
      <c r="B137" s="1">
        <v>45005</v>
      </c>
      <c r="C137" s="2" t="s">
        <v>28</v>
      </c>
      <c r="D137" s="2" t="s">
        <v>164</v>
      </c>
      <c r="E137" s="2" t="s">
        <v>14</v>
      </c>
      <c r="F137">
        <v>44</v>
      </c>
      <c r="G137" s="2" t="s">
        <v>22</v>
      </c>
      <c r="H137">
        <v>2</v>
      </c>
      <c r="I137">
        <v>300</v>
      </c>
      <c r="J137">
        <v>600</v>
      </c>
      <c r="K137">
        <v>600</v>
      </c>
      <c r="L137">
        <v>2023</v>
      </c>
      <c r="M137">
        <v>17</v>
      </c>
      <c r="N137">
        <v>45038</v>
      </c>
      <c r="O137" t="str">
        <v>April</v>
      </c>
      <c r="P137" t="str">
        <v>CUST017</v>
      </c>
      <c r="Q137" t="str">
        <v>Female</v>
      </c>
      <c r="R137">
        <v>27</v>
      </c>
      <c r="S137" t="str">
        <v>Clothing</v>
      </c>
      <c r="T137">
        <v>4</v>
      </c>
      <c r="U137">
        <v>25</v>
      </c>
      <c r="V137">
        <v>100</v>
      </c>
      <c r="W137">
        <v>100</v>
      </c>
      <c r="X137">
        <v>2023</v>
      </c>
    </row>
    <row r="138" spans="1:24" x14ac:dyDescent="0.35">
      <c r="A138">
        <v>137</v>
      </c>
      <c r="B138" s="1">
        <v>45248</v>
      </c>
      <c r="C138" s="2" t="s">
        <v>12</v>
      </c>
      <c r="D138" s="2" t="s">
        <v>165</v>
      </c>
      <c r="E138" s="2" t="s">
        <v>14</v>
      </c>
      <c r="F138">
        <v>46</v>
      </c>
      <c r="G138" s="2" t="s">
        <v>15</v>
      </c>
      <c r="H138">
        <v>2</v>
      </c>
      <c r="I138">
        <v>500</v>
      </c>
      <c r="J138">
        <v>1000</v>
      </c>
      <c r="K138">
        <v>1000</v>
      </c>
      <c r="L138">
        <v>2023</v>
      </c>
      <c r="M138">
        <v>18</v>
      </c>
      <c r="N138">
        <v>45046</v>
      </c>
      <c r="O138" t="str">
        <v>April</v>
      </c>
      <c r="P138" t="str">
        <v>CUST018</v>
      </c>
      <c r="Q138" t="str">
        <v>Female</v>
      </c>
      <c r="R138">
        <v>47</v>
      </c>
      <c r="S138" t="str">
        <v>Electronics</v>
      </c>
      <c r="T138">
        <v>2</v>
      </c>
      <c r="U138">
        <v>25</v>
      </c>
      <c r="V138">
        <v>50</v>
      </c>
      <c r="W138">
        <v>50</v>
      </c>
      <c r="X138">
        <v>2023</v>
      </c>
    </row>
    <row r="139" spans="1:24" x14ac:dyDescent="0.35">
      <c r="A139">
        <v>138</v>
      </c>
      <c r="B139" s="1">
        <v>45008</v>
      </c>
      <c r="C139" s="2" t="s">
        <v>28</v>
      </c>
      <c r="D139" s="2" t="s">
        <v>166</v>
      </c>
      <c r="E139" s="2" t="s">
        <v>14</v>
      </c>
      <c r="F139">
        <v>49</v>
      </c>
      <c r="G139" s="2" t="s">
        <v>19</v>
      </c>
      <c r="H139">
        <v>4</v>
      </c>
      <c r="I139">
        <v>50</v>
      </c>
      <c r="J139">
        <v>200</v>
      </c>
      <c r="K139">
        <v>200</v>
      </c>
      <c r="L139">
        <v>2023</v>
      </c>
      <c r="M139">
        <v>19</v>
      </c>
      <c r="N139">
        <v>45185</v>
      </c>
      <c r="O139" t="str">
        <v>September</v>
      </c>
      <c r="P139" t="str">
        <v>CUST019</v>
      </c>
      <c r="Q139" t="str">
        <v>Female</v>
      </c>
      <c r="R139">
        <v>62</v>
      </c>
      <c r="S139" t="str">
        <v>Clothing</v>
      </c>
      <c r="T139">
        <v>2</v>
      </c>
      <c r="U139">
        <v>25</v>
      </c>
      <c r="V139">
        <v>50</v>
      </c>
      <c r="W139">
        <v>50</v>
      </c>
      <c r="X139">
        <v>2023</v>
      </c>
    </row>
    <row r="140" spans="1:24" x14ac:dyDescent="0.35">
      <c r="A140">
        <v>139</v>
      </c>
      <c r="B140" s="1">
        <v>45275</v>
      </c>
      <c r="C140" s="2" t="s">
        <v>31</v>
      </c>
      <c r="D140" s="2" t="s">
        <v>167</v>
      </c>
      <c r="E140" s="2" t="s">
        <v>14</v>
      </c>
      <c r="F140">
        <v>36</v>
      </c>
      <c r="G140" s="2" t="s">
        <v>15</v>
      </c>
      <c r="H140">
        <v>4</v>
      </c>
      <c r="I140">
        <v>500</v>
      </c>
      <c r="J140">
        <v>2000</v>
      </c>
      <c r="K140">
        <v>2000</v>
      </c>
      <c r="L140">
        <v>2023</v>
      </c>
      <c r="M140">
        <v>20</v>
      </c>
      <c r="N140">
        <v>45235</v>
      </c>
      <c r="O140" t="str">
        <v>November</v>
      </c>
      <c r="P140" t="str">
        <v>CUST020</v>
      </c>
      <c r="Q140" t="str">
        <v>Male</v>
      </c>
      <c r="R140">
        <v>22</v>
      </c>
      <c r="S140" t="str">
        <v>Clothing</v>
      </c>
      <c r="T140">
        <v>3</v>
      </c>
      <c r="U140">
        <v>300</v>
      </c>
      <c r="V140">
        <v>900</v>
      </c>
      <c r="W140">
        <v>900</v>
      </c>
      <c r="X140">
        <v>2023</v>
      </c>
    </row>
    <row r="141" spans="1:24" x14ac:dyDescent="0.35">
      <c r="A141">
        <v>140</v>
      </c>
      <c r="B141" s="1">
        <v>45143</v>
      </c>
      <c r="C141" s="2" t="s">
        <v>37</v>
      </c>
      <c r="D141" s="2" t="s">
        <v>168</v>
      </c>
      <c r="E141" s="2" t="s">
        <v>14</v>
      </c>
      <c r="F141">
        <v>38</v>
      </c>
      <c r="G141" s="2" t="s">
        <v>22</v>
      </c>
      <c r="H141">
        <v>1</v>
      </c>
      <c r="I141">
        <v>30</v>
      </c>
      <c r="J141">
        <v>30</v>
      </c>
      <c r="K141">
        <v>30</v>
      </c>
      <c r="L141">
        <v>2023</v>
      </c>
      <c r="M141">
        <v>21</v>
      </c>
      <c r="N141">
        <v>44940</v>
      </c>
      <c r="O141" t="str">
        <v>January</v>
      </c>
      <c r="P141" t="str">
        <v>CUST021</v>
      </c>
      <c r="Q141" t="str">
        <v>Female</v>
      </c>
      <c r="R141">
        <v>50</v>
      </c>
      <c r="S141" t="str">
        <v>Beauty</v>
      </c>
      <c r="T141">
        <v>1</v>
      </c>
      <c r="U141">
        <v>500</v>
      </c>
      <c r="V141">
        <v>500</v>
      </c>
      <c r="W141">
        <v>500</v>
      </c>
      <c r="X141">
        <v>2023</v>
      </c>
    </row>
    <row r="142" spans="1:24" x14ac:dyDescent="0.35">
      <c r="A142">
        <v>141</v>
      </c>
      <c r="B142" s="1">
        <v>45232</v>
      </c>
      <c r="C142" s="2" t="s">
        <v>12</v>
      </c>
      <c r="D142" s="2" t="s">
        <v>169</v>
      </c>
      <c r="E142" s="2" t="s">
        <v>18</v>
      </c>
      <c r="F142">
        <v>22</v>
      </c>
      <c r="G142" s="2" t="s">
        <v>22</v>
      </c>
      <c r="H142">
        <v>1</v>
      </c>
      <c r="I142">
        <v>50</v>
      </c>
      <c r="J142">
        <v>50</v>
      </c>
      <c r="K142">
        <v>50</v>
      </c>
      <c r="L142">
        <v>2023</v>
      </c>
      <c r="M142">
        <v>22</v>
      </c>
      <c r="N142">
        <v>45214</v>
      </c>
      <c r="O142" t="str">
        <v>October</v>
      </c>
      <c r="P142" t="str">
        <v>CUST022</v>
      </c>
      <c r="Q142" t="str">
        <v>Male</v>
      </c>
      <c r="R142">
        <v>18</v>
      </c>
      <c r="S142" t="str">
        <v>Clothing</v>
      </c>
      <c r="T142">
        <v>2</v>
      </c>
      <c r="U142">
        <v>50</v>
      </c>
      <c r="V142">
        <v>100</v>
      </c>
      <c r="W142">
        <v>100</v>
      </c>
      <c r="X142">
        <v>2023</v>
      </c>
    </row>
    <row r="143" spans="1:24" x14ac:dyDescent="0.35">
      <c r="A143">
        <v>142</v>
      </c>
      <c r="B143" s="1">
        <v>44959</v>
      </c>
      <c r="C143" s="2" t="s">
        <v>16</v>
      </c>
      <c r="D143" s="2" t="s">
        <v>170</v>
      </c>
      <c r="E143" s="2" t="s">
        <v>14</v>
      </c>
      <c r="F143">
        <v>35</v>
      </c>
      <c r="G143" s="2" t="s">
        <v>22</v>
      </c>
      <c r="H143">
        <v>4</v>
      </c>
      <c r="I143">
        <v>300</v>
      </c>
      <c r="J143">
        <v>1200</v>
      </c>
      <c r="K143">
        <v>1200</v>
      </c>
      <c r="L143">
        <v>2023</v>
      </c>
      <c r="M143">
        <v>23</v>
      </c>
      <c r="N143">
        <v>45028</v>
      </c>
      <c r="O143" t="str">
        <v>April</v>
      </c>
      <c r="P143" t="str">
        <v>CUST023</v>
      </c>
      <c r="Q143" t="str">
        <v>Female</v>
      </c>
      <c r="R143">
        <v>35</v>
      </c>
      <c r="S143" t="str">
        <v>Clothing</v>
      </c>
      <c r="T143">
        <v>4</v>
      </c>
      <c r="U143">
        <v>30</v>
      </c>
      <c r="V143">
        <v>120</v>
      </c>
      <c r="W143">
        <v>120</v>
      </c>
      <c r="X143">
        <v>2023</v>
      </c>
    </row>
    <row r="144" spans="1:24" x14ac:dyDescent="0.35">
      <c r="A144">
        <v>143</v>
      </c>
      <c r="B144" s="1">
        <v>45124</v>
      </c>
      <c r="C144" s="2" t="s">
        <v>70</v>
      </c>
      <c r="D144" s="2" t="s">
        <v>171</v>
      </c>
      <c r="E144" s="2" t="s">
        <v>18</v>
      </c>
      <c r="F144">
        <v>45</v>
      </c>
      <c r="G144" s="2" t="s">
        <v>19</v>
      </c>
      <c r="H144">
        <v>1</v>
      </c>
      <c r="I144">
        <v>50</v>
      </c>
      <c r="J144">
        <v>50</v>
      </c>
      <c r="K144">
        <v>50</v>
      </c>
      <c r="L144">
        <v>2023</v>
      </c>
      <c r="M144">
        <v>24</v>
      </c>
      <c r="N144">
        <v>45259</v>
      </c>
      <c r="O144" t="str">
        <v>November</v>
      </c>
      <c r="P144" t="str">
        <v>CUST024</v>
      </c>
      <c r="Q144" t="str">
        <v>Female</v>
      </c>
      <c r="R144">
        <v>49</v>
      </c>
      <c r="S144" t="str">
        <v>Clothing</v>
      </c>
      <c r="T144">
        <v>1</v>
      </c>
      <c r="U144">
        <v>300</v>
      </c>
      <c r="V144">
        <v>300</v>
      </c>
      <c r="W144">
        <v>300</v>
      </c>
      <c r="X144">
        <v>2023</v>
      </c>
    </row>
    <row r="145" spans="1:24" x14ac:dyDescent="0.35">
      <c r="A145">
        <v>144</v>
      </c>
      <c r="B145" s="1">
        <v>45122</v>
      </c>
      <c r="C145" s="2" t="s">
        <v>70</v>
      </c>
      <c r="D145" s="2" t="s">
        <v>172</v>
      </c>
      <c r="E145" s="2" t="s">
        <v>18</v>
      </c>
      <c r="F145">
        <v>59</v>
      </c>
      <c r="G145" s="2" t="s">
        <v>15</v>
      </c>
      <c r="H145">
        <v>3</v>
      </c>
      <c r="I145">
        <v>500</v>
      </c>
      <c r="J145">
        <v>1500</v>
      </c>
      <c r="K145">
        <v>1500</v>
      </c>
      <c r="L145">
        <v>2023</v>
      </c>
      <c r="M145">
        <v>25</v>
      </c>
      <c r="N145">
        <v>45286</v>
      </c>
      <c r="O145" t="str">
        <v>December</v>
      </c>
      <c r="P145" t="str">
        <v>CUST025</v>
      </c>
      <c r="Q145" t="str">
        <v>Female</v>
      </c>
      <c r="R145">
        <v>64</v>
      </c>
      <c r="S145" t="str">
        <v>Beauty</v>
      </c>
      <c r="T145">
        <v>1</v>
      </c>
      <c r="U145">
        <v>50</v>
      </c>
      <c r="V145">
        <v>50</v>
      </c>
      <c r="W145">
        <v>50</v>
      </c>
      <c r="X145">
        <v>2023</v>
      </c>
    </row>
    <row r="146" spans="1:24" x14ac:dyDescent="0.35">
      <c r="A146">
        <v>145</v>
      </c>
      <c r="B146" s="1">
        <v>45232</v>
      </c>
      <c r="C146" s="2" t="s">
        <v>12</v>
      </c>
      <c r="D146" s="2" t="s">
        <v>173</v>
      </c>
      <c r="E146" s="2" t="s">
        <v>18</v>
      </c>
      <c r="F146">
        <v>39</v>
      </c>
      <c r="G146" s="2" t="s">
        <v>19</v>
      </c>
      <c r="H146">
        <v>3</v>
      </c>
      <c r="I146">
        <v>25</v>
      </c>
      <c r="J146">
        <v>75</v>
      </c>
      <c r="K146">
        <v>75</v>
      </c>
      <c r="L146">
        <v>2023</v>
      </c>
      <c r="M146">
        <v>26</v>
      </c>
      <c r="N146">
        <v>45206</v>
      </c>
      <c r="O146" t="str">
        <v>October</v>
      </c>
      <c r="P146" t="str">
        <v>CUST026</v>
      </c>
      <c r="Q146" t="str">
        <v>Female</v>
      </c>
      <c r="R146">
        <v>28</v>
      </c>
      <c r="S146" t="str">
        <v>Electronics</v>
      </c>
      <c r="T146">
        <v>2</v>
      </c>
      <c r="U146">
        <v>500</v>
      </c>
      <c r="V146">
        <v>1000</v>
      </c>
      <c r="W146">
        <v>1000</v>
      </c>
      <c r="X146">
        <v>2023</v>
      </c>
    </row>
    <row r="147" spans="1:24" x14ac:dyDescent="0.35">
      <c r="A147">
        <v>146</v>
      </c>
      <c r="B147" s="1">
        <v>45166</v>
      </c>
      <c r="C147" s="2" t="s">
        <v>37</v>
      </c>
      <c r="D147" s="2" t="s">
        <v>174</v>
      </c>
      <c r="E147" s="2" t="s">
        <v>14</v>
      </c>
      <c r="F147">
        <v>38</v>
      </c>
      <c r="G147" s="2" t="s">
        <v>19</v>
      </c>
      <c r="H147">
        <v>4</v>
      </c>
      <c r="I147">
        <v>50</v>
      </c>
      <c r="J147">
        <v>200</v>
      </c>
      <c r="K147">
        <v>200</v>
      </c>
      <c r="L147">
        <v>2023</v>
      </c>
      <c r="M147">
        <v>27</v>
      </c>
      <c r="N147">
        <v>45141</v>
      </c>
      <c r="O147" t="str">
        <v>August</v>
      </c>
      <c r="P147" t="str">
        <v>CUST027</v>
      </c>
      <c r="Q147" t="str">
        <v>Female</v>
      </c>
      <c r="R147">
        <v>38</v>
      </c>
      <c r="S147" t="str">
        <v>Beauty</v>
      </c>
      <c r="T147">
        <v>2</v>
      </c>
      <c r="U147">
        <v>25</v>
      </c>
      <c r="V147">
        <v>50</v>
      </c>
      <c r="W147">
        <v>50</v>
      </c>
      <c r="X147">
        <v>2023</v>
      </c>
    </row>
    <row r="148" spans="1:24" x14ac:dyDescent="0.35">
      <c r="A148">
        <v>147</v>
      </c>
      <c r="B148" s="1">
        <v>45197</v>
      </c>
      <c r="C148" s="2" t="s">
        <v>44</v>
      </c>
      <c r="D148" s="2" t="s">
        <v>175</v>
      </c>
      <c r="E148" s="2" t="s">
        <v>14</v>
      </c>
      <c r="F148">
        <v>23</v>
      </c>
      <c r="G148" s="2" t="s">
        <v>22</v>
      </c>
      <c r="H148">
        <v>1</v>
      </c>
      <c r="I148">
        <v>300</v>
      </c>
      <c r="J148">
        <v>300</v>
      </c>
      <c r="K148">
        <v>300</v>
      </c>
      <c r="L148">
        <v>2023</v>
      </c>
      <c r="M148">
        <v>28</v>
      </c>
      <c r="N148">
        <v>45039</v>
      </c>
      <c r="O148" t="str">
        <v>April</v>
      </c>
      <c r="P148" t="str">
        <v>CUST028</v>
      </c>
      <c r="Q148" t="str">
        <v>Female</v>
      </c>
      <c r="R148">
        <v>43</v>
      </c>
      <c r="S148" t="str">
        <v>Beauty</v>
      </c>
      <c r="T148">
        <v>1</v>
      </c>
      <c r="U148">
        <v>500</v>
      </c>
      <c r="V148">
        <v>500</v>
      </c>
      <c r="W148">
        <v>500</v>
      </c>
      <c r="X148">
        <v>2023</v>
      </c>
    </row>
    <row r="149" spans="1:24" x14ac:dyDescent="0.35">
      <c r="A149">
        <v>148</v>
      </c>
      <c r="B149" s="1">
        <v>45055</v>
      </c>
      <c r="C149" s="2" t="s">
        <v>23</v>
      </c>
      <c r="D149" s="2" t="s">
        <v>176</v>
      </c>
      <c r="E149" s="2" t="s">
        <v>14</v>
      </c>
      <c r="F149">
        <v>18</v>
      </c>
      <c r="G149" s="2" t="s">
        <v>19</v>
      </c>
      <c r="H149">
        <v>2</v>
      </c>
      <c r="I149">
        <v>30</v>
      </c>
      <c r="J149">
        <v>60</v>
      </c>
      <c r="K149">
        <v>60</v>
      </c>
      <c r="L149">
        <v>2023</v>
      </c>
      <c r="M149">
        <v>29</v>
      </c>
      <c r="N149">
        <v>45156</v>
      </c>
      <c r="O149" t="str">
        <v>August</v>
      </c>
      <c r="P149" t="str">
        <v>CUST029</v>
      </c>
      <c r="Q149" t="str">
        <v>Female</v>
      </c>
      <c r="R149">
        <v>42</v>
      </c>
      <c r="S149" t="str">
        <v>Electronics</v>
      </c>
      <c r="T149">
        <v>1</v>
      </c>
      <c r="U149">
        <v>30</v>
      </c>
      <c r="V149">
        <v>30</v>
      </c>
      <c r="W149">
        <v>30</v>
      </c>
      <c r="X149">
        <v>2023</v>
      </c>
    </row>
    <row r="150" spans="1:24" x14ac:dyDescent="0.35">
      <c r="A150">
        <v>149</v>
      </c>
      <c r="B150" s="1">
        <v>45210</v>
      </c>
      <c r="C150" s="2" t="s">
        <v>33</v>
      </c>
      <c r="D150" s="2" t="s">
        <v>177</v>
      </c>
      <c r="E150" s="2" t="s">
        <v>14</v>
      </c>
      <c r="F150">
        <v>22</v>
      </c>
      <c r="G150" s="2" t="s">
        <v>19</v>
      </c>
      <c r="H150">
        <v>3</v>
      </c>
      <c r="I150">
        <v>25</v>
      </c>
      <c r="J150">
        <v>75</v>
      </c>
      <c r="K150">
        <v>75</v>
      </c>
      <c r="L150">
        <v>2023</v>
      </c>
      <c r="M150">
        <v>30</v>
      </c>
      <c r="N150">
        <v>45228</v>
      </c>
      <c r="O150" t="str">
        <v>October</v>
      </c>
      <c r="P150" t="str">
        <v>CUST030</v>
      </c>
      <c r="Q150" t="str">
        <v>Female</v>
      </c>
      <c r="R150">
        <v>39</v>
      </c>
      <c r="S150" t="str">
        <v>Beauty</v>
      </c>
      <c r="T150">
        <v>3</v>
      </c>
      <c r="U150">
        <v>300</v>
      </c>
      <c r="V150">
        <v>900</v>
      </c>
      <c r="W150">
        <v>900</v>
      </c>
      <c r="X150">
        <v>2023</v>
      </c>
    </row>
    <row r="151" spans="1:24" x14ac:dyDescent="0.35">
      <c r="A151">
        <v>150</v>
      </c>
      <c r="B151" s="1">
        <v>44932</v>
      </c>
      <c r="C151" s="2" t="s">
        <v>20</v>
      </c>
      <c r="D151" s="2" t="s">
        <v>178</v>
      </c>
      <c r="E151" s="2" t="s">
        <v>18</v>
      </c>
      <c r="F151">
        <v>58</v>
      </c>
      <c r="G151" s="2" t="s">
        <v>22</v>
      </c>
      <c r="H151">
        <v>4</v>
      </c>
      <c r="I151">
        <v>30</v>
      </c>
      <c r="J151">
        <v>120</v>
      </c>
      <c r="K151">
        <v>120</v>
      </c>
      <c r="L151">
        <v>2023</v>
      </c>
      <c r="M151">
        <v>31</v>
      </c>
      <c r="N151">
        <v>45069</v>
      </c>
      <c r="O151" t="str">
        <v>May</v>
      </c>
      <c r="P151" t="str">
        <v>CUST031</v>
      </c>
      <c r="Q151" t="str">
        <v>Male</v>
      </c>
      <c r="R151">
        <v>44</v>
      </c>
      <c r="S151" t="str">
        <v>Electronics</v>
      </c>
      <c r="T151">
        <v>4</v>
      </c>
      <c r="U151">
        <v>300</v>
      </c>
      <c r="V151">
        <v>1200</v>
      </c>
      <c r="W151">
        <v>1200</v>
      </c>
      <c r="X151">
        <v>2023</v>
      </c>
    </row>
    <row r="152" spans="1:24" x14ac:dyDescent="0.35">
      <c r="A152">
        <v>151</v>
      </c>
      <c r="B152" s="1">
        <v>45275</v>
      </c>
      <c r="C152" s="2" t="s">
        <v>31</v>
      </c>
      <c r="D152" s="2" t="s">
        <v>179</v>
      </c>
      <c r="E152" s="2" t="s">
        <v>14</v>
      </c>
      <c r="F152">
        <v>29</v>
      </c>
      <c r="G152" s="2" t="s">
        <v>19</v>
      </c>
      <c r="H152">
        <v>1</v>
      </c>
      <c r="I152">
        <v>50</v>
      </c>
      <c r="J152">
        <v>50</v>
      </c>
      <c r="K152">
        <v>50</v>
      </c>
      <c r="L152">
        <v>2023</v>
      </c>
      <c r="M152">
        <v>32</v>
      </c>
      <c r="N152">
        <v>44930</v>
      </c>
      <c r="O152" t="str">
        <v>January</v>
      </c>
      <c r="P152" t="str">
        <v>CUST032</v>
      </c>
      <c r="Q152" t="str">
        <v>Male</v>
      </c>
      <c r="R152">
        <v>30</v>
      </c>
      <c r="S152" t="str">
        <v>Beauty</v>
      </c>
      <c r="T152">
        <v>3</v>
      </c>
      <c r="U152">
        <v>30</v>
      </c>
      <c r="V152">
        <v>90</v>
      </c>
      <c r="W152">
        <v>90</v>
      </c>
      <c r="X152">
        <v>2023</v>
      </c>
    </row>
    <row r="153" spans="1:24" x14ac:dyDescent="0.35">
      <c r="A153">
        <v>152</v>
      </c>
      <c r="B153" s="1">
        <v>44985</v>
      </c>
      <c r="C153" s="2" t="s">
        <v>16</v>
      </c>
      <c r="D153" s="2" t="s">
        <v>180</v>
      </c>
      <c r="E153" s="2" t="s">
        <v>14</v>
      </c>
      <c r="F153">
        <v>43</v>
      </c>
      <c r="G153" s="2" t="s">
        <v>22</v>
      </c>
      <c r="H153">
        <v>4</v>
      </c>
      <c r="I153">
        <v>500</v>
      </c>
      <c r="J153">
        <v>2000</v>
      </c>
      <c r="K153">
        <v>2000</v>
      </c>
      <c r="L153">
        <v>2023</v>
      </c>
      <c r="M153">
        <v>33</v>
      </c>
      <c r="N153">
        <v>45008</v>
      </c>
      <c r="O153" t="str">
        <v>March</v>
      </c>
      <c r="P153" t="str">
        <v>CUST033</v>
      </c>
      <c r="Q153" t="str">
        <v>Female</v>
      </c>
      <c r="R153">
        <v>50</v>
      </c>
      <c r="S153" t="str">
        <v>Electronics</v>
      </c>
      <c r="T153">
        <v>2</v>
      </c>
      <c r="U153">
        <v>50</v>
      </c>
      <c r="V153">
        <v>100</v>
      </c>
      <c r="W153">
        <v>100</v>
      </c>
      <c r="X153">
        <v>2023</v>
      </c>
    </row>
    <row r="154" spans="1:24" x14ac:dyDescent="0.35">
      <c r="A154">
        <v>153</v>
      </c>
      <c r="B154" s="1">
        <v>45276</v>
      </c>
      <c r="C154" s="2" t="s">
        <v>31</v>
      </c>
      <c r="D154" s="2" t="s">
        <v>181</v>
      </c>
      <c r="E154" s="2" t="s">
        <v>14</v>
      </c>
      <c r="F154">
        <v>63</v>
      </c>
      <c r="G154" s="2" t="s">
        <v>22</v>
      </c>
      <c r="H154">
        <v>2</v>
      </c>
      <c r="I154">
        <v>500</v>
      </c>
      <c r="J154">
        <v>1000</v>
      </c>
      <c r="K154">
        <v>1000</v>
      </c>
      <c r="L154">
        <v>2023</v>
      </c>
      <c r="M154">
        <v>34</v>
      </c>
      <c r="N154">
        <v>45284</v>
      </c>
      <c r="O154" t="str">
        <v>December</v>
      </c>
      <c r="P154" t="str">
        <v>CUST034</v>
      </c>
      <c r="Q154" t="str">
        <v>Female</v>
      </c>
      <c r="R154">
        <v>51</v>
      </c>
      <c r="S154" t="str">
        <v>Clothing</v>
      </c>
      <c r="T154">
        <v>3</v>
      </c>
      <c r="U154">
        <v>50</v>
      </c>
      <c r="V154">
        <v>150</v>
      </c>
      <c r="W154">
        <v>150</v>
      </c>
      <c r="X154">
        <v>2023</v>
      </c>
    </row>
    <row r="155" spans="1:24" x14ac:dyDescent="0.35">
      <c r="A155">
        <v>154</v>
      </c>
      <c r="B155" s="1">
        <v>45201</v>
      </c>
      <c r="C155" s="2" t="s">
        <v>33</v>
      </c>
      <c r="D155" s="2" t="s">
        <v>182</v>
      </c>
      <c r="E155" s="2" t="s">
        <v>14</v>
      </c>
      <c r="F155">
        <v>51</v>
      </c>
      <c r="G155" s="2" t="s">
        <v>22</v>
      </c>
      <c r="H155">
        <v>3</v>
      </c>
      <c r="I155">
        <v>300</v>
      </c>
      <c r="J155">
        <v>900</v>
      </c>
      <c r="K155">
        <v>900</v>
      </c>
      <c r="L155">
        <v>2023</v>
      </c>
      <c r="M155">
        <v>35</v>
      </c>
      <c r="N155">
        <v>45143</v>
      </c>
      <c r="O155" t="str">
        <v>August</v>
      </c>
      <c r="P155" t="str">
        <v>CUST035</v>
      </c>
      <c r="Q155" t="str">
        <v>Female</v>
      </c>
      <c r="R155">
        <v>58</v>
      </c>
      <c r="S155" t="str">
        <v>Beauty</v>
      </c>
      <c r="T155">
        <v>3</v>
      </c>
      <c r="U155">
        <v>300</v>
      </c>
      <c r="V155">
        <v>900</v>
      </c>
      <c r="W155">
        <v>900</v>
      </c>
      <c r="X155">
        <v>2023</v>
      </c>
    </row>
    <row r="156" spans="1:24" x14ac:dyDescent="0.35">
      <c r="A156">
        <v>155</v>
      </c>
      <c r="B156" s="1">
        <v>45063</v>
      </c>
      <c r="C156" s="2" t="s">
        <v>23</v>
      </c>
      <c r="D156" s="2" t="s">
        <v>183</v>
      </c>
      <c r="E156" s="2" t="s">
        <v>14</v>
      </c>
      <c r="F156">
        <v>31</v>
      </c>
      <c r="G156" s="2" t="s">
        <v>22</v>
      </c>
      <c r="H156">
        <v>4</v>
      </c>
      <c r="I156">
        <v>500</v>
      </c>
      <c r="J156">
        <v>2000</v>
      </c>
      <c r="K156">
        <v>2000</v>
      </c>
      <c r="L156">
        <v>2023</v>
      </c>
      <c r="M156">
        <v>36</v>
      </c>
      <c r="N156">
        <v>45101</v>
      </c>
      <c r="O156" t="str">
        <v>June</v>
      </c>
      <c r="P156" t="str">
        <v>CUST036</v>
      </c>
      <c r="Q156" t="str">
        <v>Male</v>
      </c>
      <c r="R156">
        <v>52</v>
      </c>
      <c r="S156" t="str">
        <v>Beauty</v>
      </c>
      <c r="T156">
        <v>3</v>
      </c>
      <c r="U156">
        <v>300</v>
      </c>
      <c r="V156">
        <v>900</v>
      </c>
      <c r="W156">
        <v>900</v>
      </c>
      <c r="X156">
        <v>2023</v>
      </c>
    </row>
    <row r="157" spans="1:24" x14ac:dyDescent="0.35">
      <c r="A157">
        <v>156</v>
      </c>
      <c r="B157" s="1">
        <v>45255</v>
      </c>
      <c r="C157" s="2" t="s">
        <v>12</v>
      </c>
      <c r="D157" s="2" t="s">
        <v>184</v>
      </c>
      <c r="E157" s="2" t="s">
        <v>18</v>
      </c>
      <c r="F157">
        <v>43</v>
      </c>
      <c r="G157" s="2" t="s">
        <v>19</v>
      </c>
      <c r="H157">
        <v>4</v>
      </c>
      <c r="I157">
        <v>25</v>
      </c>
      <c r="J157">
        <v>100</v>
      </c>
      <c r="K157">
        <v>100</v>
      </c>
      <c r="L157">
        <v>2023</v>
      </c>
      <c r="M157">
        <v>37</v>
      </c>
      <c r="N157">
        <v>45069</v>
      </c>
      <c r="O157" t="str">
        <v>May</v>
      </c>
      <c r="P157" t="str">
        <v>CUST037</v>
      </c>
      <c r="Q157" t="str">
        <v>Female</v>
      </c>
      <c r="R157">
        <v>18</v>
      </c>
      <c r="S157" t="str">
        <v>Beauty</v>
      </c>
      <c r="T157">
        <v>3</v>
      </c>
      <c r="U157">
        <v>25</v>
      </c>
      <c r="V157">
        <v>75</v>
      </c>
      <c r="W157">
        <v>75</v>
      </c>
      <c r="X157">
        <v>2023</v>
      </c>
    </row>
    <row r="158" spans="1:24" x14ac:dyDescent="0.35">
      <c r="A158">
        <v>157</v>
      </c>
      <c r="B158" s="1">
        <v>45101</v>
      </c>
      <c r="C158" s="2" t="s">
        <v>62</v>
      </c>
      <c r="D158" s="2" t="s">
        <v>185</v>
      </c>
      <c r="E158" s="2" t="s">
        <v>14</v>
      </c>
      <c r="F158">
        <v>62</v>
      </c>
      <c r="G158" s="2" t="s">
        <v>22</v>
      </c>
      <c r="H158">
        <v>4</v>
      </c>
      <c r="I158">
        <v>500</v>
      </c>
      <c r="J158">
        <v>2000</v>
      </c>
      <c r="K158">
        <v>2000</v>
      </c>
      <c r="L158">
        <v>2023</v>
      </c>
      <c r="M158">
        <v>38</v>
      </c>
      <c r="N158">
        <v>45006</v>
      </c>
      <c r="O158" t="str">
        <v>March</v>
      </c>
      <c r="P158" t="str">
        <v>CUST038</v>
      </c>
      <c r="Q158" t="str">
        <v>Male</v>
      </c>
      <c r="R158">
        <v>38</v>
      </c>
      <c r="S158" t="str">
        <v>Beauty</v>
      </c>
      <c r="T158">
        <v>4</v>
      </c>
      <c r="U158">
        <v>50</v>
      </c>
      <c r="V158">
        <v>200</v>
      </c>
      <c r="W158">
        <v>200</v>
      </c>
      <c r="X158">
        <v>2023</v>
      </c>
    </row>
    <row r="159" spans="1:24" x14ac:dyDescent="0.35">
      <c r="A159">
        <v>158</v>
      </c>
      <c r="B159" s="1">
        <v>44984</v>
      </c>
      <c r="C159" s="2" t="s">
        <v>16</v>
      </c>
      <c r="D159" s="2" t="s">
        <v>186</v>
      </c>
      <c r="E159" s="2" t="s">
        <v>18</v>
      </c>
      <c r="F159">
        <v>44</v>
      </c>
      <c r="G159" s="2" t="s">
        <v>22</v>
      </c>
      <c r="H159">
        <v>2</v>
      </c>
      <c r="I159">
        <v>300</v>
      </c>
      <c r="J159">
        <v>600</v>
      </c>
      <c r="K159">
        <v>600</v>
      </c>
      <c r="L159">
        <v>2023</v>
      </c>
      <c r="M159">
        <v>39</v>
      </c>
      <c r="N159">
        <v>45037</v>
      </c>
      <c r="O159" t="str">
        <v>April</v>
      </c>
      <c r="P159" t="str">
        <v>CUST039</v>
      </c>
      <c r="Q159" t="str">
        <v>Male</v>
      </c>
      <c r="R159">
        <v>23</v>
      </c>
      <c r="S159" t="str">
        <v>Clothing</v>
      </c>
      <c r="T159">
        <v>4</v>
      </c>
      <c r="U159">
        <v>30</v>
      </c>
      <c r="V159">
        <v>120</v>
      </c>
      <c r="W159">
        <v>120</v>
      </c>
      <c r="X159">
        <v>2023</v>
      </c>
    </row>
    <row r="160" spans="1:24" x14ac:dyDescent="0.35">
      <c r="A160">
        <v>159</v>
      </c>
      <c r="B160" s="1">
        <v>45077</v>
      </c>
      <c r="C160" s="2" t="s">
        <v>23</v>
      </c>
      <c r="D160" s="2" t="s">
        <v>187</v>
      </c>
      <c r="E160" s="2" t="s">
        <v>14</v>
      </c>
      <c r="F160">
        <v>26</v>
      </c>
      <c r="G160" s="2" t="s">
        <v>19</v>
      </c>
      <c r="H160">
        <v>4</v>
      </c>
      <c r="I160">
        <v>50</v>
      </c>
      <c r="J160">
        <v>200</v>
      </c>
      <c r="K160">
        <v>200</v>
      </c>
      <c r="L160">
        <v>2023</v>
      </c>
      <c r="M160">
        <v>40</v>
      </c>
      <c r="N160">
        <v>45099</v>
      </c>
      <c r="O160" t="str">
        <v>June</v>
      </c>
      <c r="P160" t="str">
        <v>CUST040</v>
      </c>
      <c r="Q160" t="str">
        <v>Male</v>
      </c>
      <c r="R160">
        <v>45</v>
      </c>
      <c r="S160" t="str">
        <v>Beauty</v>
      </c>
      <c r="T160">
        <v>1</v>
      </c>
      <c r="U160">
        <v>50</v>
      </c>
      <c r="V160">
        <v>50</v>
      </c>
      <c r="W160">
        <v>50</v>
      </c>
      <c r="X160">
        <v>2023</v>
      </c>
    </row>
    <row r="161" spans="1:24" x14ac:dyDescent="0.35">
      <c r="A161">
        <v>160</v>
      </c>
      <c r="B161" s="1">
        <v>45149</v>
      </c>
      <c r="C161" s="2" t="s">
        <v>37</v>
      </c>
      <c r="D161" s="2" t="s">
        <v>188</v>
      </c>
      <c r="E161" s="2" t="s">
        <v>18</v>
      </c>
      <c r="F161">
        <v>43</v>
      </c>
      <c r="G161" s="2" t="s">
        <v>19</v>
      </c>
      <c r="H161">
        <v>2</v>
      </c>
      <c r="I161">
        <v>50</v>
      </c>
      <c r="J161">
        <v>100</v>
      </c>
      <c r="K161">
        <v>100</v>
      </c>
      <c r="L161">
        <v>2023</v>
      </c>
      <c r="M161">
        <v>41</v>
      </c>
      <c r="N161">
        <v>44979</v>
      </c>
      <c r="O161" t="str">
        <v>February</v>
      </c>
      <c r="P161" t="str">
        <v>CUST041</v>
      </c>
      <c r="Q161" t="str">
        <v>Male</v>
      </c>
      <c r="R161">
        <v>34</v>
      </c>
      <c r="S161" t="str">
        <v>Clothing</v>
      </c>
      <c r="T161">
        <v>2</v>
      </c>
      <c r="U161">
        <v>25</v>
      </c>
      <c r="V161">
        <v>50</v>
      </c>
      <c r="W161">
        <v>50</v>
      </c>
      <c r="X161">
        <v>2023</v>
      </c>
    </row>
    <row r="162" spans="1:24" x14ac:dyDescent="0.35">
      <c r="A162">
        <v>161</v>
      </c>
      <c r="B162" s="1">
        <v>45007</v>
      </c>
      <c r="C162" s="2" t="s">
        <v>28</v>
      </c>
      <c r="D162" s="2" t="s">
        <v>189</v>
      </c>
      <c r="E162" s="2" t="s">
        <v>14</v>
      </c>
      <c r="F162">
        <v>64</v>
      </c>
      <c r="G162" s="2" t="s">
        <v>15</v>
      </c>
      <c r="H162">
        <v>2</v>
      </c>
      <c r="I162">
        <v>500</v>
      </c>
      <c r="J162">
        <v>1000</v>
      </c>
      <c r="K162">
        <v>1000</v>
      </c>
      <c r="L162">
        <v>2023</v>
      </c>
      <c r="M162">
        <v>42</v>
      </c>
      <c r="N162">
        <v>44974</v>
      </c>
      <c r="O162" t="str">
        <v>February</v>
      </c>
      <c r="P162" t="str">
        <v>CUST042</v>
      </c>
      <c r="Q162" t="str">
        <v>Male</v>
      </c>
      <c r="R162">
        <v>22</v>
      </c>
      <c r="S162" t="str">
        <v>Clothing</v>
      </c>
      <c r="T162">
        <v>3</v>
      </c>
      <c r="U162">
        <v>300</v>
      </c>
      <c r="V162">
        <v>900</v>
      </c>
      <c r="W162">
        <v>900</v>
      </c>
      <c r="X162">
        <v>2023</v>
      </c>
    </row>
    <row r="163" spans="1:24" x14ac:dyDescent="0.35">
      <c r="A163">
        <v>162</v>
      </c>
      <c r="B163" s="1">
        <v>45159</v>
      </c>
      <c r="C163" s="2" t="s">
        <v>37</v>
      </c>
      <c r="D163" s="2" t="s">
        <v>190</v>
      </c>
      <c r="E163" s="2" t="s">
        <v>14</v>
      </c>
      <c r="F163">
        <v>39</v>
      </c>
      <c r="G163" s="2" t="s">
        <v>19</v>
      </c>
      <c r="H163">
        <v>2</v>
      </c>
      <c r="I163">
        <v>30</v>
      </c>
      <c r="J163">
        <v>60</v>
      </c>
      <c r="K163">
        <v>60</v>
      </c>
      <c r="L163">
        <v>2023</v>
      </c>
      <c r="M163">
        <v>43</v>
      </c>
      <c r="N163">
        <v>45121</v>
      </c>
      <c r="O163" t="str">
        <v>July</v>
      </c>
      <c r="P163" t="str">
        <v>CUST043</v>
      </c>
      <c r="Q163" t="str">
        <v>Female</v>
      </c>
      <c r="R163">
        <v>48</v>
      </c>
      <c r="S163" t="str">
        <v>Clothing</v>
      </c>
      <c r="T163">
        <v>1</v>
      </c>
      <c r="U163">
        <v>300</v>
      </c>
      <c r="V163">
        <v>300</v>
      </c>
      <c r="W163">
        <v>300</v>
      </c>
      <c r="X163">
        <v>2023</v>
      </c>
    </row>
    <row r="164" spans="1:24" x14ac:dyDescent="0.35">
      <c r="A164">
        <v>163</v>
      </c>
      <c r="B164" s="1">
        <v>44928</v>
      </c>
      <c r="C164" s="2" t="s">
        <v>20</v>
      </c>
      <c r="D164" s="2" t="s">
        <v>191</v>
      </c>
      <c r="E164" s="2" t="s">
        <v>18</v>
      </c>
      <c r="F164">
        <v>64</v>
      </c>
      <c r="G164" s="2" t="s">
        <v>19</v>
      </c>
      <c r="H164">
        <v>3</v>
      </c>
      <c r="I164">
        <v>50</v>
      </c>
      <c r="J164">
        <v>150</v>
      </c>
      <c r="K164">
        <v>150</v>
      </c>
      <c r="L164">
        <v>2023</v>
      </c>
      <c r="M164">
        <v>44</v>
      </c>
      <c r="N164">
        <v>44976</v>
      </c>
      <c r="O164" t="str">
        <v>February</v>
      </c>
      <c r="P164" t="str">
        <v>CUST044</v>
      </c>
      <c r="Q164" t="str">
        <v>Female</v>
      </c>
      <c r="R164">
        <v>22</v>
      </c>
      <c r="S164" t="str">
        <v>Clothing</v>
      </c>
      <c r="T164">
        <v>1</v>
      </c>
      <c r="U164">
        <v>25</v>
      </c>
      <c r="V164">
        <v>25</v>
      </c>
      <c r="W164">
        <v>25</v>
      </c>
      <c r="X164">
        <v>2023</v>
      </c>
    </row>
    <row r="165" spans="1:24" x14ac:dyDescent="0.35">
      <c r="A165">
        <v>164</v>
      </c>
      <c r="B165" s="1">
        <v>45061</v>
      </c>
      <c r="C165" s="2" t="s">
        <v>23</v>
      </c>
      <c r="D165" s="2" t="s">
        <v>192</v>
      </c>
      <c r="E165" s="2" t="s">
        <v>18</v>
      </c>
      <c r="F165">
        <v>47</v>
      </c>
      <c r="G165" s="2" t="s">
        <v>15</v>
      </c>
      <c r="H165">
        <v>3</v>
      </c>
      <c r="I165">
        <v>500</v>
      </c>
      <c r="J165">
        <v>1500</v>
      </c>
      <c r="K165">
        <v>1500</v>
      </c>
      <c r="L165">
        <v>2023</v>
      </c>
      <c r="M165">
        <v>45</v>
      </c>
      <c r="N165">
        <v>45110</v>
      </c>
      <c r="O165" t="str">
        <v>July</v>
      </c>
      <c r="P165" t="str">
        <v>CUST045</v>
      </c>
      <c r="Q165" t="str">
        <v>Female</v>
      </c>
      <c r="R165">
        <v>55</v>
      </c>
      <c r="S165" t="str">
        <v>Electronics</v>
      </c>
      <c r="T165">
        <v>1</v>
      </c>
      <c r="U165">
        <v>30</v>
      </c>
      <c r="V165">
        <v>30</v>
      </c>
      <c r="W165">
        <v>30</v>
      </c>
      <c r="X165">
        <v>2023</v>
      </c>
    </row>
    <row r="166" spans="1:24" x14ac:dyDescent="0.35">
      <c r="A166">
        <v>165</v>
      </c>
      <c r="B166" s="1">
        <v>45183</v>
      </c>
      <c r="C166" s="2" t="s">
        <v>44</v>
      </c>
      <c r="D166" s="2" t="s">
        <v>193</v>
      </c>
      <c r="E166" s="2" t="s">
        <v>18</v>
      </c>
      <c r="F166">
        <v>60</v>
      </c>
      <c r="G166" s="2" t="s">
        <v>19</v>
      </c>
      <c r="H166">
        <v>4</v>
      </c>
      <c r="I166">
        <v>300</v>
      </c>
      <c r="J166">
        <v>1200</v>
      </c>
      <c r="K166">
        <v>1200</v>
      </c>
      <c r="L166">
        <v>2023</v>
      </c>
      <c r="M166">
        <v>46</v>
      </c>
      <c r="N166">
        <v>45103</v>
      </c>
      <c r="O166" t="str">
        <v>June</v>
      </c>
      <c r="P166" t="str">
        <v>CUST046</v>
      </c>
      <c r="Q166" t="str">
        <v>Female</v>
      </c>
      <c r="R166">
        <v>20</v>
      </c>
      <c r="S166" t="str">
        <v>Electronics</v>
      </c>
      <c r="T166">
        <v>4</v>
      </c>
      <c r="U166">
        <v>300</v>
      </c>
      <c r="V166">
        <v>1200</v>
      </c>
      <c r="W166">
        <v>1200</v>
      </c>
      <c r="X166">
        <v>2023</v>
      </c>
    </row>
    <row r="167" spans="1:24" x14ac:dyDescent="0.35">
      <c r="A167">
        <v>166</v>
      </c>
      <c r="B167" s="1">
        <v>45018</v>
      </c>
      <c r="C167" s="2" t="s">
        <v>26</v>
      </c>
      <c r="D167" s="2" t="s">
        <v>194</v>
      </c>
      <c r="E167" s="2" t="s">
        <v>14</v>
      </c>
      <c r="F167">
        <v>34</v>
      </c>
      <c r="G167" s="2" t="s">
        <v>19</v>
      </c>
      <c r="H167">
        <v>4</v>
      </c>
      <c r="I167">
        <v>500</v>
      </c>
      <c r="J167">
        <v>2000</v>
      </c>
      <c r="K167">
        <v>2000</v>
      </c>
      <c r="L167">
        <v>2023</v>
      </c>
      <c r="M167">
        <v>47</v>
      </c>
      <c r="N167">
        <v>45236</v>
      </c>
      <c r="O167" t="str">
        <v>November</v>
      </c>
      <c r="P167" t="str">
        <v>CUST047</v>
      </c>
      <c r="Q167" t="str">
        <v>Female</v>
      </c>
      <c r="R167">
        <v>40</v>
      </c>
      <c r="S167" t="str">
        <v>Beauty</v>
      </c>
      <c r="T167">
        <v>3</v>
      </c>
      <c r="U167">
        <v>500</v>
      </c>
      <c r="V167">
        <v>1500</v>
      </c>
      <c r="W167">
        <v>1500</v>
      </c>
      <c r="X167">
        <v>2023</v>
      </c>
    </row>
    <row r="168" spans="1:24" x14ac:dyDescent="0.35">
      <c r="A168">
        <v>167</v>
      </c>
      <c r="B168" s="1">
        <v>45186</v>
      </c>
      <c r="C168" s="2" t="s">
        <v>44</v>
      </c>
      <c r="D168" s="2" t="s">
        <v>195</v>
      </c>
      <c r="E168" s="2" t="s">
        <v>18</v>
      </c>
      <c r="F168">
        <v>43</v>
      </c>
      <c r="G168" s="2" t="s">
        <v>19</v>
      </c>
      <c r="H168">
        <v>3</v>
      </c>
      <c r="I168">
        <v>50</v>
      </c>
      <c r="J168">
        <v>150</v>
      </c>
      <c r="K168">
        <v>150</v>
      </c>
      <c r="L168">
        <v>2023</v>
      </c>
      <c r="M168">
        <v>48</v>
      </c>
      <c r="N168">
        <v>45062</v>
      </c>
      <c r="O168" t="str">
        <v>May</v>
      </c>
      <c r="P168" t="str">
        <v>CUST048</v>
      </c>
      <c r="Q168" t="str">
        <v>Male</v>
      </c>
      <c r="R168">
        <v>54</v>
      </c>
      <c r="S168" t="str">
        <v>Electronics</v>
      </c>
      <c r="T168">
        <v>3</v>
      </c>
      <c r="U168">
        <v>300</v>
      </c>
      <c r="V168">
        <v>900</v>
      </c>
      <c r="W168">
        <v>900</v>
      </c>
      <c r="X168">
        <v>2023</v>
      </c>
    </row>
    <row r="169" spans="1:24" x14ac:dyDescent="0.35">
      <c r="A169">
        <v>168</v>
      </c>
      <c r="B169" s="1">
        <v>44981</v>
      </c>
      <c r="C169" s="2" t="s">
        <v>16</v>
      </c>
      <c r="D169" s="2" t="s">
        <v>196</v>
      </c>
      <c r="E169" s="2" t="s">
        <v>14</v>
      </c>
      <c r="F169">
        <v>53</v>
      </c>
      <c r="G169" s="2" t="s">
        <v>19</v>
      </c>
      <c r="H169">
        <v>1</v>
      </c>
      <c r="I169">
        <v>300</v>
      </c>
      <c r="J169">
        <v>300</v>
      </c>
      <c r="K169">
        <v>300</v>
      </c>
      <c r="L169">
        <v>2023</v>
      </c>
      <c r="M169">
        <v>49</v>
      </c>
      <c r="N169">
        <v>44949</v>
      </c>
      <c r="O169" t="str">
        <v>January</v>
      </c>
      <c r="P169" t="str">
        <v>CUST049</v>
      </c>
      <c r="Q169" t="str">
        <v>Female</v>
      </c>
      <c r="R169">
        <v>54</v>
      </c>
      <c r="S169" t="str">
        <v>Electronics</v>
      </c>
      <c r="T169">
        <v>2</v>
      </c>
      <c r="U169">
        <v>500</v>
      </c>
      <c r="V169">
        <v>1000</v>
      </c>
      <c r="W169">
        <v>1000</v>
      </c>
      <c r="X169">
        <v>2023</v>
      </c>
    </row>
    <row r="170" spans="1:24" x14ac:dyDescent="0.35">
      <c r="A170">
        <v>169</v>
      </c>
      <c r="B170" s="1">
        <v>45247</v>
      </c>
      <c r="C170" s="2" t="s">
        <v>12</v>
      </c>
      <c r="D170" s="2" t="s">
        <v>197</v>
      </c>
      <c r="E170" s="2" t="s">
        <v>14</v>
      </c>
      <c r="F170">
        <v>18</v>
      </c>
      <c r="G170" s="2" t="s">
        <v>15</v>
      </c>
      <c r="H170">
        <v>3</v>
      </c>
      <c r="I170">
        <v>500</v>
      </c>
      <c r="J170">
        <v>1500</v>
      </c>
      <c r="K170">
        <v>1500</v>
      </c>
      <c r="L170">
        <v>2023</v>
      </c>
      <c r="M170">
        <v>50</v>
      </c>
      <c r="N170">
        <v>45162</v>
      </c>
      <c r="O170" t="str">
        <v>August</v>
      </c>
      <c r="P170" t="str">
        <v>CUST050</v>
      </c>
      <c r="Q170" t="str">
        <v>Female</v>
      </c>
      <c r="R170">
        <v>27</v>
      </c>
      <c r="S170" t="str">
        <v>Beauty</v>
      </c>
      <c r="T170">
        <v>3</v>
      </c>
      <c r="U170">
        <v>25</v>
      </c>
      <c r="V170">
        <v>75</v>
      </c>
      <c r="W170">
        <v>75</v>
      </c>
      <c r="X170">
        <v>2023</v>
      </c>
    </row>
    <row r="171" spans="1:24" x14ac:dyDescent="0.35">
      <c r="A171">
        <v>170</v>
      </c>
      <c r="B171" s="1">
        <v>45079</v>
      </c>
      <c r="C171" s="2" t="s">
        <v>62</v>
      </c>
      <c r="D171" s="2" t="s">
        <v>198</v>
      </c>
      <c r="E171" s="2" t="s">
        <v>18</v>
      </c>
      <c r="F171">
        <v>25</v>
      </c>
      <c r="G171" s="2" t="s">
        <v>19</v>
      </c>
      <c r="H171">
        <v>2</v>
      </c>
      <c r="I171">
        <v>25</v>
      </c>
      <c r="J171">
        <v>50</v>
      </c>
      <c r="K171">
        <v>50</v>
      </c>
      <c r="L171">
        <v>2023</v>
      </c>
      <c r="M171">
        <v>51</v>
      </c>
      <c r="N171">
        <v>45201</v>
      </c>
      <c r="O171" t="str">
        <v>October</v>
      </c>
      <c r="P171" t="str">
        <v>CUST051</v>
      </c>
      <c r="Q171" t="str">
        <v>Male</v>
      </c>
      <c r="R171">
        <v>27</v>
      </c>
      <c r="S171" t="str">
        <v>Beauty</v>
      </c>
      <c r="T171">
        <v>3</v>
      </c>
      <c r="U171">
        <v>25</v>
      </c>
      <c r="V171">
        <v>75</v>
      </c>
      <c r="W171">
        <v>75</v>
      </c>
      <c r="X171">
        <v>2023</v>
      </c>
    </row>
    <row r="172" spans="1:24" x14ac:dyDescent="0.35">
      <c r="A172">
        <v>171</v>
      </c>
      <c r="B172" s="1">
        <v>45254</v>
      </c>
      <c r="C172" s="2" t="s">
        <v>12</v>
      </c>
      <c r="D172" s="2" t="s">
        <v>199</v>
      </c>
      <c r="E172" s="2" t="s">
        <v>18</v>
      </c>
      <c r="F172">
        <v>52</v>
      </c>
      <c r="G172" s="2" t="s">
        <v>19</v>
      </c>
      <c r="H172">
        <v>3</v>
      </c>
      <c r="I172">
        <v>300</v>
      </c>
      <c r="J172">
        <v>900</v>
      </c>
      <c r="K172">
        <v>900</v>
      </c>
      <c r="L172">
        <v>2023</v>
      </c>
      <c r="M172">
        <v>52</v>
      </c>
      <c r="N172">
        <v>44990</v>
      </c>
      <c r="O172" t="str">
        <v>March</v>
      </c>
      <c r="P172" t="str">
        <v>CUST052</v>
      </c>
      <c r="Q172" t="str">
        <v>Female</v>
      </c>
      <c r="R172">
        <v>36</v>
      </c>
      <c r="S172" t="str">
        <v>Beauty</v>
      </c>
      <c r="T172">
        <v>1</v>
      </c>
      <c r="U172">
        <v>300</v>
      </c>
      <c r="V172">
        <v>300</v>
      </c>
      <c r="W172">
        <v>300</v>
      </c>
      <c r="X172">
        <v>2023</v>
      </c>
    </row>
    <row r="173" spans="1:24" x14ac:dyDescent="0.35">
      <c r="A173">
        <v>172</v>
      </c>
      <c r="B173" s="1">
        <v>45186</v>
      </c>
      <c r="C173" s="2" t="s">
        <v>44</v>
      </c>
      <c r="D173" s="2" t="s">
        <v>200</v>
      </c>
      <c r="E173" s="2" t="s">
        <v>14</v>
      </c>
      <c r="F173">
        <v>32</v>
      </c>
      <c r="G173" s="2" t="s">
        <v>15</v>
      </c>
      <c r="H173">
        <v>2</v>
      </c>
      <c r="I173">
        <v>25</v>
      </c>
      <c r="J173">
        <v>50</v>
      </c>
      <c r="K173">
        <v>50</v>
      </c>
      <c r="L173">
        <v>2023</v>
      </c>
      <c r="M173">
        <v>53</v>
      </c>
      <c r="N173">
        <v>45120</v>
      </c>
      <c r="O173" t="str">
        <v>July</v>
      </c>
      <c r="P173" t="str">
        <v>CUST053</v>
      </c>
      <c r="Q173" t="str">
        <v>Male</v>
      </c>
      <c r="R173">
        <v>34</v>
      </c>
      <c r="S173" t="str">
        <v>Electronics</v>
      </c>
      <c r="T173">
        <v>2</v>
      </c>
      <c r="U173">
        <v>50</v>
      </c>
      <c r="V173">
        <v>100</v>
      </c>
      <c r="W173">
        <v>100</v>
      </c>
      <c r="X173">
        <v>2023</v>
      </c>
    </row>
    <row r="174" spans="1:24" x14ac:dyDescent="0.35">
      <c r="A174">
        <v>173</v>
      </c>
      <c r="B174" s="1">
        <v>45238</v>
      </c>
      <c r="C174" s="2" t="s">
        <v>12</v>
      </c>
      <c r="D174" s="2" t="s">
        <v>201</v>
      </c>
      <c r="E174" s="2" t="s">
        <v>14</v>
      </c>
      <c r="F174">
        <v>64</v>
      </c>
      <c r="G174" s="2" t="s">
        <v>22</v>
      </c>
      <c r="H174">
        <v>4</v>
      </c>
      <c r="I174">
        <v>30</v>
      </c>
      <c r="J174">
        <v>120</v>
      </c>
      <c r="K174">
        <v>120</v>
      </c>
      <c r="L174">
        <v>2023</v>
      </c>
      <c r="M174">
        <v>54</v>
      </c>
      <c r="N174">
        <v>44967</v>
      </c>
      <c r="O174" t="str">
        <v>February</v>
      </c>
      <c r="P174" t="str">
        <v>CUST054</v>
      </c>
      <c r="Q174" t="str">
        <v>Female</v>
      </c>
      <c r="R174">
        <v>38</v>
      </c>
      <c r="S174" t="str">
        <v>Electronics</v>
      </c>
      <c r="T174">
        <v>3</v>
      </c>
      <c r="U174">
        <v>500</v>
      </c>
      <c r="V174">
        <v>1500</v>
      </c>
      <c r="W174">
        <v>1500</v>
      </c>
      <c r="X174">
        <v>2023</v>
      </c>
    </row>
    <row r="175" spans="1:24" x14ac:dyDescent="0.35">
      <c r="A175">
        <v>174</v>
      </c>
      <c r="B175" s="1">
        <v>45028</v>
      </c>
      <c r="C175" s="2" t="s">
        <v>26</v>
      </c>
      <c r="D175" s="2" t="s">
        <v>202</v>
      </c>
      <c r="E175" s="2" t="s">
        <v>18</v>
      </c>
      <c r="F175">
        <v>39</v>
      </c>
      <c r="G175" s="2" t="s">
        <v>15</v>
      </c>
      <c r="H175">
        <v>1</v>
      </c>
      <c r="I175">
        <v>300</v>
      </c>
      <c r="J175">
        <v>300</v>
      </c>
      <c r="K175">
        <v>300</v>
      </c>
      <c r="L175">
        <v>2023</v>
      </c>
      <c r="M175">
        <v>55</v>
      </c>
      <c r="N175">
        <v>45209</v>
      </c>
      <c r="O175" t="str">
        <v>October</v>
      </c>
      <c r="P175" t="str">
        <v>CUST055</v>
      </c>
      <c r="Q175" t="str">
        <v>Male</v>
      </c>
      <c r="R175">
        <v>31</v>
      </c>
      <c r="S175" t="str">
        <v>Beauty</v>
      </c>
      <c r="T175">
        <v>4</v>
      </c>
      <c r="U175">
        <v>30</v>
      </c>
      <c r="V175">
        <v>120</v>
      </c>
      <c r="W175">
        <v>120</v>
      </c>
      <c r="X175">
        <v>2023</v>
      </c>
    </row>
    <row r="176" spans="1:24" x14ac:dyDescent="0.35">
      <c r="A176">
        <v>175</v>
      </c>
      <c r="B176" s="1">
        <v>45005</v>
      </c>
      <c r="C176" s="2" t="s">
        <v>28</v>
      </c>
      <c r="D176" s="2" t="s">
        <v>203</v>
      </c>
      <c r="E176" s="2" t="s">
        <v>18</v>
      </c>
      <c r="F176">
        <v>31</v>
      </c>
      <c r="G176" s="2" t="s">
        <v>22</v>
      </c>
      <c r="H176">
        <v>4</v>
      </c>
      <c r="I176">
        <v>25</v>
      </c>
      <c r="J176">
        <v>100</v>
      </c>
      <c r="K176">
        <v>100</v>
      </c>
      <c r="L176">
        <v>2023</v>
      </c>
      <c r="M176">
        <v>56</v>
      </c>
      <c r="N176">
        <v>45077</v>
      </c>
      <c r="O176" t="str">
        <v>May</v>
      </c>
      <c r="P176" t="str">
        <v>CUST056</v>
      </c>
      <c r="Q176" t="str">
        <v>Female</v>
      </c>
      <c r="R176">
        <v>26</v>
      </c>
      <c r="S176" t="str">
        <v>Clothing</v>
      </c>
      <c r="T176">
        <v>3</v>
      </c>
      <c r="U176">
        <v>300</v>
      </c>
      <c r="V176">
        <v>900</v>
      </c>
      <c r="W176">
        <v>900</v>
      </c>
      <c r="X176">
        <v>2023</v>
      </c>
    </row>
    <row r="177" spans="1:24" x14ac:dyDescent="0.35">
      <c r="A177">
        <v>176</v>
      </c>
      <c r="B177" s="1">
        <v>45118</v>
      </c>
      <c r="C177" s="2" t="s">
        <v>70</v>
      </c>
      <c r="D177" s="2" t="s">
        <v>204</v>
      </c>
      <c r="E177" s="2" t="s">
        <v>18</v>
      </c>
      <c r="F177">
        <v>43</v>
      </c>
      <c r="G177" s="2" t="s">
        <v>15</v>
      </c>
      <c r="H177">
        <v>2</v>
      </c>
      <c r="I177">
        <v>50</v>
      </c>
      <c r="J177">
        <v>100</v>
      </c>
      <c r="K177">
        <v>100</v>
      </c>
      <c r="L177">
        <v>2023</v>
      </c>
      <c r="M177">
        <v>57</v>
      </c>
      <c r="N177">
        <v>45248</v>
      </c>
      <c r="O177" t="str">
        <v>November</v>
      </c>
      <c r="P177" t="str">
        <v>CUST057</v>
      </c>
      <c r="Q177" t="str">
        <v>Female</v>
      </c>
      <c r="R177">
        <v>63</v>
      </c>
      <c r="S177" t="str">
        <v>Beauty</v>
      </c>
      <c r="T177">
        <v>1</v>
      </c>
      <c r="U177">
        <v>30</v>
      </c>
      <c r="V177">
        <v>30</v>
      </c>
      <c r="W177">
        <v>30</v>
      </c>
      <c r="X177">
        <v>2023</v>
      </c>
    </row>
    <row r="178" spans="1:24" x14ac:dyDescent="0.35">
      <c r="A178">
        <v>177</v>
      </c>
      <c r="B178" s="1">
        <v>45009</v>
      </c>
      <c r="C178" s="2" t="s">
        <v>28</v>
      </c>
      <c r="D178" s="2" t="s">
        <v>205</v>
      </c>
      <c r="E178" s="2" t="s">
        <v>14</v>
      </c>
      <c r="F178">
        <v>45</v>
      </c>
      <c r="G178" s="2" t="s">
        <v>15</v>
      </c>
      <c r="H178">
        <v>2</v>
      </c>
      <c r="I178">
        <v>50</v>
      </c>
      <c r="J178">
        <v>100</v>
      </c>
      <c r="K178">
        <v>100</v>
      </c>
      <c r="L178">
        <v>2023</v>
      </c>
      <c r="M178">
        <v>58</v>
      </c>
      <c r="N178">
        <v>45243</v>
      </c>
      <c r="O178" t="str">
        <v>November</v>
      </c>
      <c r="P178" t="str">
        <v>CUST058</v>
      </c>
      <c r="Q178" t="str">
        <v>Male</v>
      </c>
      <c r="R178">
        <v>18</v>
      </c>
      <c r="S178" t="str">
        <v>Clothing</v>
      </c>
      <c r="T178">
        <v>4</v>
      </c>
      <c r="U178">
        <v>300</v>
      </c>
      <c r="V178">
        <v>1200</v>
      </c>
      <c r="W178">
        <v>1200</v>
      </c>
      <c r="X178">
        <v>2023</v>
      </c>
    </row>
    <row r="179" spans="1:24" x14ac:dyDescent="0.35">
      <c r="A179">
        <v>178</v>
      </c>
      <c r="B179" s="1">
        <v>45203</v>
      </c>
      <c r="C179" s="2" t="s">
        <v>33</v>
      </c>
      <c r="D179" s="2" t="s">
        <v>206</v>
      </c>
      <c r="E179" s="2" t="s">
        <v>14</v>
      </c>
      <c r="F179">
        <v>40</v>
      </c>
      <c r="G179" s="2" t="s">
        <v>19</v>
      </c>
      <c r="H179">
        <v>2</v>
      </c>
      <c r="I179">
        <v>30</v>
      </c>
      <c r="J179">
        <v>60</v>
      </c>
      <c r="K179">
        <v>60</v>
      </c>
      <c r="L179">
        <v>2023</v>
      </c>
      <c r="M179">
        <v>59</v>
      </c>
      <c r="N179">
        <v>45112</v>
      </c>
      <c r="O179" t="str">
        <v>July</v>
      </c>
      <c r="P179" t="str">
        <v>CUST059</v>
      </c>
      <c r="Q179" t="str">
        <v>Male</v>
      </c>
      <c r="R179">
        <v>62</v>
      </c>
      <c r="S179" t="str">
        <v>Clothing</v>
      </c>
      <c r="T179">
        <v>1</v>
      </c>
      <c r="U179">
        <v>50</v>
      </c>
      <c r="V179">
        <v>50</v>
      </c>
      <c r="W179">
        <v>50</v>
      </c>
      <c r="X179">
        <v>2023</v>
      </c>
    </row>
    <row r="180" spans="1:24" x14ac:dyDescent="0.35">
      <c r="A180">
        <v>179</v>
      </c>
      <c r="B180" s="1">
        <v>45198</v>
      </c>
      <c r="C180" s="2" t="s">
        <v>44</v>
      </c>
      <c r="D180" s="2" t="s">
        <v>207</v>
      </c>
      <c r="E180" s="2" t="s">
        <v>14</v>
      </c>
      <c r="F180">
        <v>31</v>
      </c>
      <c r="G180" s="2" t="s">
        <v>22</v>
      </c>
      <c r="H180">
        <v>1</v>
      </c>
      <c r="I180">
        <v>300</v>
      </c>
      <c r="J180">
        <v>300</v>
      </c>
      <c r="K180">
        <v>300</v>
      </c>
      <c r="L180">
        <v>2023</v>
      </c>
      <c r="M180">
        <v>60</v>
      </c>
      <c r="N180">
        <v>45222</v>
      </c>
      <c r="O180" t="str">
        <v>October</v>
      </c>
      <c r="P180" t="str">
        <v>CUST060</v>
      </c>
      <c r="Q180" t="str">
        <v>Male</v>
      </c>
      <c r="R180">
        <v>30</v>
      </c>
      <c r="S180" t="str">
        <v>Beauty</v>
      </c>
      <c r="T180">
        <v>3</v>
      </c>
      <c r="U180">
        <v>50</v>
      </c>
      <c r="V180">
        <v>150</v>
      </c>
      <c r="W180">
        <v>150</v>
      </c>
      <c r="X180">
        <v>2023</v>
      </c>
    </row>
    <row r="181" spans="1:24" x14ac:dyDescent="0.35">
      <c r="A181">
        <v>180</v>
      </c>
      <c r="B181" s="1">
        <v>44927</v>
      </c>
      <c r="C181" s="2" t="s">
        <v>20</v>
      </c>
      <c r="D181" s="2" t="s">
        <v>208</v>
      </c>
      <c r="E181" s="2" t="s">
        <v>14</v>
      </c>
      <c r="F181">
        <v>41</v>
      </c>
      <c r="G181" s="2" t="s">
        <v>19</v>
      </c>
      <c r="H181">
        <v>3</v>
      </c>
      <c r="I181">
        <v>300</v>
      </c>
      <c r="J181">
        <v>900</v>
      </c>
      <c r="K181">
        <v>900</v>
      </c>
      <c r="L181">
        <v>2023</v>
      </c>
      <c r="M181">
        <v>61</v>
      </c>
      <c r="N181">
        <v>45025</v>
      </c>
      <c r="O181" t="str">
        <v>April</v>
      </c>
      <c r="P181" t="str">
        <v>CUST061</v>
      </c>
      <c r="Q181" t="str">
        <v>Male</v>
      </c>
      <c r="R181">
        <v>21</v>
      </c>
      <c r="S181" t="str">
        <v>Beauty</v>
      </c>
      <c r="T181">
        <v>4</v>
      </c>
      <c r="U181">
        <v>50</v>
      </c>
      <c r="V181">
        <v>200</v>
      </c>
      <c r="W181">
        <v>200</v>
      </c>
      <c r="X181">
        <v>2023</v>
      </c>
    </row>
    <row r="182" spans="1:24" x14ac:dyDescent="0.35">
      <c r="A182">
        <v>181</v>
      </c>
      <c r="B182" s="1">
        <v>45233</v>
      </c>
      <c r="C182" s="2" t="s">
        <v>12</v>
      </c>
      <c r="D182" s="2" t="s">
        <v>209</v>
      </c>
      <c r="E182" s="2" t="s">
        <v>14</v>
      </c>
      <c r="F182">
        <v>19</v>
      </c>
      <c r="G182" s="2" t="s">
        <v>22</v>
      </c>
      <c r="H182">
        <v>4</v>
      </c>
      <c r="I182">
        <v>300</v>
      </c>
      <c r="J182">
        <v>1200</v>
      </c>
      <c r="K182">
        <v>1200</v>
      </c>
      <c r="L182">
        <v>2023</v>
      </c>
      <c r="M182">
        <v>62</v>
      </c>
      <c r="N182">
        <v>45287</v>
      </c>
      <c r="O182" t="str">
        <v>December</v>
      </c>
      <c r="P182" t="str">
        <v>CUST062</v>
      </c>
      <c r="Q182" t="str">
        <v>Male</v>
      </c>
      <c r="R182">
        <v>18</v>
      </c>
      <c r="S182" t="str">
        <v>Beauty</v>
      </c>
      <c r="T182">
        <v>2</v>
      </c>
      <c r="U182">
        <v>50</v>
      </c>
      <c r="V182">
        <v>100</v>
      </c>
      <c r="W182">
        <v>100</v>
      </c>
      <c r="X182">
        <v>2023</v>
      </c>
    </row>
    <row r="183" spans="1:24" x14ac:dyDescent="0.35">
      <c r="A183">
        <v>182</v>
      </c>
      <c r="B183" s="1">
        <v>45092</v>
      </c>
      <c r="C183" s="2" t="s">
        <v>62</v>
      </c>
      <c r="D183" s="2" t="s">
        <v>210</v>
      </c>
      <c r="E183" s="2" t="s">
        <v>14</v>
      </c>
      <c r="F183">
        <v>62</v>
      </c>
      <c r="G183" s="2" t="s">
        <v>15</v>
      </c>
      <c r="H183">
        <v>4</v>
      </c>
      <c r="I183">
        <v>30</v>
      </c>
      <c r="J183">
        <v>120</v>
      </c>
      <c r="K183">
        <v>120</v>
      </c>
      <c r="L183">
        <v>2023</v>
      </c>
      <c r="M183">
        <v>63</v>
      </c>
      <c r="N183">
        <v>44962</v>
      </c>
      <c r="O183" t="str">
        <v>February</v>
      </c>
      <c r="P183" t="str">
        <v>CUST063</v>
      </c>
      <c r="Q183" t="str">
        <v>Male</v>
      </c>
      <c r="R183">
        <v>57</v>
      </c>
      <c r="S183" t="str">
        <v>Electronics</v>
      </c>
      <c r="T183">
        <v>2</v>
      </c>
      <c r="U183">
        <v>25</v>
      </c>
      <c r="V183">
        <v>50</v>
      </c>
      <c r="W183">
        <v>50</v>
      </c>
      <c r="X183">
        <v>2023</v>
      </c>
    </row>
    <row r="184" spans="1:24" x14ac:dyDescent="0.35">
      <c r="A184">
        <v>183</v>
      </c>
      <c r="B184" s="1">
        <v>45177</v>
      </c>
      <c r="C184" s="2" t="s">
        <v>44</v>
      </c>
      <c r="D184" s="2" t="s">
        <v>211</v>
      </c>
      <c r="E184" s="2" t="s">
        <v>18</v>
      </c>
      <c r="F184">
        <v>43</v>
      </c>
      <c r="G184" s="2" t="s">
        <v>15</v>
      </c>
      <c r="H184">
        <v>3</v>
      </c>
      <c r="I184">
        <v>300</v>
      </c>
      <c r="J184">
        <v>900</v>
      </c>
      <c r="K184">
        <v>900</v>
      </c>
      <c r="L184">
        <v>2023</v>
      </c>
      <c r="M184">
        <v>64</v>
      </c>
      <c r="N184">
        <v>44950</v>
      </c>
      <c r="O184" t="str">
        <v>January</v>
      </c>
      <c r="P184" t="str">
        <v>CUST064</v>
      </c>
      <c r="Q184" t="str">
        <v>Male</v>
      </c>
      <c r="R184">
        <v>49</v>
      </c>
      <c r="S184" t="str">
        <v>Clothing</v>
      </c>
      <c r="T184">
        <v>4</v>
      </c>
      <c r="U184">
        <v>25</v>
      </c>
      <c r="V184">
        <v>100</v>
      </c>
      <c r="W184">
        <v>100</v>
      </c>
      <c r="X184">
        <v>2023</v>
      </c>
    </row>
    <row r="185" spans="1:24" x14ac:dyDescent="0.35">
      <c r="A185">
        <v>184</v>
      </c>
      <c r="B185" s="1">
        <v>44936</v>
      </c>
      <c r="C185" s="2" t="s">
        <v>20</v>
      </c>
      <c r="D185" s="2" t="s">
        <v>212</v>
      </c>
      <c r="E185" s="2" t="s">
        <v>14</v>
      </c>
      <c r="F185">
        <v>31</v>
      </c>
      <c r="G185" s="2" t="s">
        <v>22</v>
      </c>
      <c r="H185">
        <v>4</v>
      </c>
      <c r="I185">
        <v>50</v>
      </c>
      <c r="J185">
        <v>200</v>
      </c>
      <c r="K185">
        <v>200</v>
      </c>
      <c r="L185">
        <v>2023</v>
      </c>
      <c r="M185">
        <v>65</v>
      </c>
      <c r="N185">
        <v>45265</v>
      </c>
      <c r="O185" t="str">
        <v>December</v>
      </c>
      <c r="P185" t="str">
        <v>CUST065</v>
      </c>
      <c r="Q185" t="str">
        <v>Male</v>
      </c>
      <c r="R185">
        <v>51</v>
      </c>
      <c r="S185" t="str">
        <v>Electronics</v>
      </c>
      <c r="T185">
        <v>4</v>
      </c>
      <c r="U185">
        <v>500</v>
      </c>
      <c r="V185">
        <v>2000</v>
      </c>
      <c r="W185">
        <v>2000</v>
      </c>
      <c r="X185">
        <v>2023</v>
      </c>
    </row>
    <row r="186" spans="1:24" x14ac:dyDescent="0.35">
      <c r="A186">
        <v>185</v>
      </c>
      <c r="B186" s="1">
        <v>44984</v>
      </c>
      <c r="C186" s="2" t="s">
        <v>16</v>
      </c>
      <c r="D186" s="2" t="s">
        <v>213</v>
      </c>
      <c r="E186" s="2" t="s">
        <v>14</v>
      </c>
      <c r="F186">
        <v>24</v>
      </c>
      <c r="G186" s="2" t="s">
        <v>19</v>
      </c>
      <c r="H186">
        <v>1</v>
      </c>
      <c r="I186">
        <v>25</v>
      </c>
      <c r="J186">
        <v>25</v>
      </c>
      <c r="K186">
        <v>25</v>
      </c>
      <c r="L186">
        <v>2023</v>
      </c>
      <c r="M186">
        <v>66</v>
      </c>
      <c r="N186">
        <v>45043</v>
      </c>
      <c r="O186" t="str">
        <v>April</v>
      </c>
      <c r="P186" t="str">
        <v>CUST066</v>
      </c>
      <c r="Q186" t="str">
        <v>Female</v>
      </c>
      <c r="R186">
        <v>45</v>
      </c>
      <c r="S186" t="str">
        <v>Electronics</v>
      </c>
      <c r="T186">
        <v>1</v>
      </c>
      <c r="U186">
        <v>30</v>
      </c>
      <c r="V186">
        <v>30</v>
      </c>
      <c r="W186">
        <v>30</v>
      </c>
      <c r="X186">
        <v>2023</v>
      </c>
    </row>
    <row r="187" spans="1:24" x14ac:dyDescent="0.35">
      <c r="A187">
        <v>186</v>
      </c>
      <c r="B187" s="1">
        <v>45112</v>
      </c>
      <c r="C187" s="2" t="s">
        <v>70</v>
      </c>
      <c r="D187" s="2" t="s">
        <v>214</v>
      </c>
      <c r="E187" s="2" t="s">
        <v>14</v>
      </c>
      <c r="F187">
        <v>20</v>
      </c>
      <c r="G187" s="2" t="s">
        <v>19</v>
      </c>
      <c r="H187">
        <v>4</v>
      </c>
      <c r="I187">
        <v>50</v>
      </c>
      <c r="J187">
        <v>200</v>
      </c>
      <c r="K187">
        <v>200</v>
      </c>
      <c r="L187">
        <v>2023</v>
      </c>
      <c r="M187">
        <v>67</v>
      </c>
      <c r="N187">
        <v>45075</v>
      </c>
      <c r="O187" t="str">
        <v>May</v>
      </c>
      <c r="P187" t="str">
        <v>CUST067</v>
      </c>
      <c r="Q187" t="str">
        <v>Female</v>
      </c>
      <c r="R187">
        <v>48</v>
      </c>
      <c r="S187" t="str">
        <v>Beauty</v>
      </c>
      <c r="T187">
        <v>4</v>
      </c>
      <c r="U187">
        <v>300</v>
      </c>
      <c r="V187">
        <v>1200</v>
      </c>
      <c r="W187">
        <v>1200</v>
      </c>
      <c r="X187">
        <v>2023</v>
      </c>
    </row>
    <row r="188" spans="1:24" x14ac:dyDescent="0.35">
      <c r="A188">
        <v>187</v>
      </c>
      <c r="B188" s="1">
        <v>45084</v>
      </c>
      <c r="C188" s="2" t="s">
        <v>62</v>
      </c>
      <c r="D188" s="2" t="s">
        <v>215</v>
      </c>
      <c r="E188" s="2" t="s">
        <v>18</v>
      </c>
      <c r="F188">
        <v>64</v>
      </c>
      <c r="G188" s="2" t="s">
        <v>19</v>
      </c>
      <c r="H188">
        <v>2</v>
      </c>
      <c r="I188">
        <v>50</v>
      </c>
      <c r="J188">
        <v>100</v>
      </c>
      <c r="K188">
        <v>100</v>
      </c>
      <c r="L188">
        <v>2023</v>
      </c>
      <c r="M188">
        <v>68</v>
      </c>
      <c r="N188">
        <v>44967</v>
      </c>
      <c r="O188" t="str">
        <v>February</v>
      </c>
      <c r="P188" t="str">
        <v>CUST068</v>
      </c>
      <c r="Q188" t="str">
        <v>Male</v>
      </c>
      <c r="R188">
        <v>25</v>
      </c>
      <c r="S188" t="str">
        <v>Electronics</v>
      </c>
      <c r="T188">
        <v>1</v>
      </c>
      <c r="U188">
        <v>300</v>
      </c>
      <c r="V188">
        <v>300</v>
      </c>
      <c r="W188">
        <v>300</v>
      </c>
      <c r="X188">
        <v>2023</v>
      </c>
    </row>
    <row r="189" spans="1:24" x14ac:dyDescent="0.35">
      <c r="A189">
        <v>188</v>
      </c>
      <c r="B189" s="1">
        <v>45049</v>
      </c>
      <c r="C189" s="2" t="s">
        <v>23</v>
      </c>
      <c r="D189" s="2" t="s">
        <v>216</v>
      </c>
      <c r="E189" s="2" t="s">
        <v>14</v>
      </c>
      <c r="F189">
        <v>40</v>
      </c>
      <c r="G189" s="2" t="s">
        <v>19</v>
      </c>
      <c r="H189">
        <v>3</v>
      </c>
      <c r="I189">
        <v>25</v>
      </c>
      <c r="J189">
        <v>75</v>
      </c>
      <c r="K189">
        <v>75</v>
      </c>
      <c r="L189">
        <v>2023</v>
      </c>
      <c r="M189">
        <v>69</v>
      </c>
      <c r="N189">
        <v>45046</v>
      </c>
      <c r="O189" t="str">
        <v>April</v>
      </c>
      <c r="P189" t="str">
        <v>CUST069</v>
      </c>
      <c r="Q189" t="str">
        <v>Female</v>
      </c>
      <c r="R189">
        <v>56</v>
      </c>
      <c r="S189" t="str">
        <v>Beauty</v>
      </c>
      <c r="T189">
        <v>3</v>
      </c>
      <c r="U189">
        <v>25</v>
      </c>
      <c r="V189">
        <v>75</v>
      </c>
      <c r="W189">
        <v>75</v>
      </c>
      <c r="X189">
        <v>2023</v>
      </c>
    </row>
    <row r="190" spans="1:24" x14ac:dyDescent="0.35">
      <c r="A190">
        <v>189</v>
      </c>
      <c r="B190" s="1">
        <v>44956</v>
      </c>
      <c r="C190" s="2" t="s">
        <v>20</v>
      </c>
      <c r="D190" s="2" t="s">
        <v>217</v>
      </c>
      <c r="E190" s="2" t="s">
        <v>14</v>
      </c>
      <c r="F190">
        <v>63</v>
      </c>
      <c r="G190" s="2" t="s">
        <v>15</v>
      </c>
      <c r="H190">
        <v>1</v>
      </c>
      <c r="I190">
        <v>50</v>
      </c>
      <c r="J190">
        <v>50</v>
      </c>
      <c r="K190">
        <v>50</v>
      </c>
      <c r="L190">
        <v>2023</v>
      </c>
      <c r="M190">
        <v>70</v>
      </c>
      <c r="N190">
        <v>44978</v>
      </c>
      <c r="O190" t="str">
        <v>February</v>
      </c>
      <c r="P190" t="str">
        <v>CUST070</v>
      </c>
      <c r="Q190" t="str">
        <v>Female</v>
      </c>
      <c r="R190">
        <v>43</v>
      </c>
      <c r="S190" t="str">
        <v>Clothing</v>
      </c>
      <c r="T190">
        <v>1</v>
      </c>
      <c r="U190">
        <v>300</v>
      </c>
      <c r="V190">
        <v>300</v>
      </c>
      <c r="W190">
        <v>300</v>
      </c>
      <c r="X190">
        <v>2023</v>
      </c>
    </row>
    <row r="191" spans="1:24" x14ac:dyDescent="0.35">
      <c r="A191">
        <v>190</v>
      </c>
      <c r="B191" s="1">
        <v>45050</v>
      </c>
      <c r="C191" s="2" t="s">
        <v>23</v>
      </c>
      <c r="D191" s="2" t="s">
        <v>218</v>
      </c>
      <c r="E191" s="2" t="s">
        <v>18</v>
      </c>
      <c r="F191">
        <v>60</v>
      </c>
      <c r="G191" s="2" t="s">
        <v>15</v>
      </c>
      <c r="H191">
        <v>3</v>
      </c>
      <c r="I191">
        <v>30</v>
      </c>
      <c r="J191">
        <v>90</v>
      </c>
      <c r="K191">
        <v>90</v>
      </c>
      <c r="L191">
        <v>2023</v>
      </c>
      <c r="M191">
        <v>71</v>
      </c>
      <c r="N191">
        <v>45121</v>
      </c>
      <c r="O191" t="str">
        <v>July</v>
      </c>
      <c r="P191" t="str">
        <v>CUST071</v>
      </c>
      <c r="Q191" t="str">
        <v>Female</v>
      </c>
      <c r="R191">
        <v>51</v>
      </c>
      <c r="S191" t="str">
        <v>Beauty</v>
      </c>
      <c r="T191">
        <v>4</v>
      </c>
      <c r="U191">
        <v>25</v>
      </c>
      <c r="V191">
        <v>100</v>
      </c>
      <c r="W191">
        <v>100</v>
      </c>
      <c r="X191">
        <v>2023</v>
      </c>
    </row>
    <row r="192" spans="1:24" x14ac:dyDescent="0.35">
      <c r="A192">
        <v>191</v>
      </c>
      <c r="B192" s="1">
        <v>45217</v>
      </c>
      <c r="C192" s="2" t="s">
        <v>33</v>
      </c>
      <c r="D192" s="2" t="s">
        <v>219</v>
      </c>
      <c r="E192" s="2" t="s">
        <v>14</v>
      </c>
      <c r="F192">
        <v>64</v>
      </c>
      <c r="G192" s="2" t="s">
        <v>15</v>
      </c>
      <c r="H192">
        <v>1</v>
      </c>
      <c r="I192">
        <v>25</v>
      </c>
      <c r="J192">
        <v>25</v>
      </c>
      <c r="K192">
        <v>25</v>
      </c>
      <c r="L192">
        <v>2023</v>
      </c>
      <c r="M192">
        <v>72</v>
      </c>
      <c r="N192">
        <v>45069</v>
      </c>
      <c r="O192" t="str">
        <v>May</v>
      </c>
      <c r="P192" t="str">
        <v>CUST072</v>
      </c>
      <c r="Q192" t="str">
        <v>Female</v>
      </c>
      <c r="R192">
        <v>20</v>
      </c>
      <c r="S192" t="str">
        <v>Electronics</v>
      </c>
      <c r="T192">
        <v>4</v>
      </c>
      <c r="U192">
        <v>500</v>
      </c>
      <c r="V192">
        <v>2000</v>
      </c>
      <c r="W192">
        <v>2000</v>
      </c>
      <c r="X192">
        <v>2023</v>
      </c>
    </row>
    <row r="193" spans="1:24" x14ac:dyDescent="0.35">
      <c r="A193">
        <v>192</v>
      </c>
      <c r="B193" s="1">
        <v>44967</v>
      </c>
      <c r="C193" s="2" t="s">
        <v>16</v>
      </c>
      <c r="D193" s="2" t="s">
        <v>220</v>
      </c>
      <c r="E193" s="2" t="s">
        <v>14</v>
      </c>
      <c r="F193">
        <v>62</v>
      </c>
      <c r="G193" s="2" t="s">
        <v>15</v>
      </c>
      <c r="H193">
        <v>2</v>
      </c>
      <c r="I193">
        <v>50</v>
      </c>
      <c r="J193">
        <v>100</v>
      </c>
      <c r="K193">
        <v>100</v>
      </c>
      <c r="L193">
        <v>2023</v>
      </c>
      <c r="M193">
        <v>73</v>
      </c>
      <c r="N193">
        <v>45159</v>
      </c>
      <c r="O193" t="str">
        <v>August</v>
      </c>
      <c r="P193" t="str">
        <v>CUST073</v>
      </c>
      <c r="Q193" t="str">
        <v>Male</v>
      </c>
      <c r="R193">
        <v>29</v>
      </c>
      <c r="S193" t="str">
        <v>Electronics</v>
      </c>
      <c r="T193">
        <v>3</v>
      </c>
      <c r="U193">
        <v>30</v>
      </c>
      <c r="V193">
        <v>90</v>
      </c>
      <c r="W193">
        <v>90</v>
      </c>
      <c r="X193">
        <v>2023</v>
      </c>
    </row>
    <row r="194" spans="1:24" x14ac:dyDescent="0.35">
      <c r="A194">
        <v>193</v>
      </c>
      <c r="B194" s="1">
        <v>44970</v>
      </c>
      <c r="C194" s="2" t="s">
        <v>16</v>
      </c>
      <c r="D194" s="2" t="s">
        <v>221</v>
      </c>
      <c r="E194" s="2" t="s">
        <v>14</v>
      </c>
      <c r="F194">
        <v>35</v>
      </c>
      <c r="G194" s="2" t="s">
        <v>15</v>
      </c>
      <c r="H194">
        <v>3</v>
      </c>
      <c r="I194">
        <v>500</v>
      </c>
      <c r="J194">
        <v>1500</v>
      </c>
      <c r="K194">
        <v>1500</v>
      </c>
      <c r="L194">
        <v>2023</v>
      </c>
      <c r="M194">
        <v>74</v>
      </c>
      <c r="N194">
        <v>45252</v>
      </c>
      <c r="O194" t="str">
        <v>November</v>
      </c>
      <c r="P194" t="str">
        <v>CUST074</v>
      </c>
      <c r="Q194" t="str">
        <v>Female</v>
      </c>
      <c r="R194">
        <v>18</v>
      </c>
      <c r="S194" t="str">
        <v>Beauty</v>
      </c>
      <c r="T194">
        <v>4</v>
      </c>
      <c r="U194">
        <v>500</v>
      </c>
      <c r="V194">
        <v>2000</v>
      </c>
      <c r="W194">
        <v>2000</v>
      </c>
      <c r="X194">
        <v>2023</v>
      </c>
    </row>
    <row r="195" spans="1:24" x14ac:dyDescent="0.35">
      <c r="A195">
        <v>194</v>
      </c>
      <c r="B195" s="1">
        <v>45175</v>
      </c>
      <c r="C195" s="2" t="s">
        <v>44</v>
      </c>
      <c r="D195" s="2" t="s">
        <v>222</v>
      </c>
      <c r="E195" s="2" t="s">
        <v>14</v>
      </c>
      <c r="F195">
        <v>55</v>
      </c>
      <c r="G195" s="2" t="s">
        <v>19</v>
      </c>
      <c r="H195">
        <v>4</v>
      </c>
      <c r="I195">
        <v>50</v>
      </c>
      <c r="J195">
        <v>200</v>
      </c>
      <c r="K195">
        <v>200</v>
      </c>
      <c r="L195">
        <v>2023</v>
      </c>
      <c r="M195">
        <v>75</v>
      </c>
      <c r="N195">
        <v>45113</v>
      </c>
      <c r="O195" t="str">
        <v>July</v>
      </c>
      <c r="P195" t="str">
        <v>CUST075</v>
      </c>
      <c r="Q195" t="str">
        <v>Male</v>
      </c>
      <c r="R195">
        <v>61</v>
      </c>
      <c r="S195" t="str">
        <v>Beauty</v>
      </c>
      <c r="T195">
        <v>4</v>
      </c>
      <c r="U195">
        <v>50</v>
      </c>
      <c r="V195">
        <v>200</v>
      </c>
      <c r="W195">
        <v>200</v>
      </c>
      <c r="X195">
        <v>2023</v>
      </c>
    </row>
    <row r="196" spans="1:24" x14ac:dyDescent="0.35">
      <c r="A196">
        <v>195</v>
      </c>
      <c r="B196" s="1">
        <v>44962</v>
      </c>
      <c r="C196" s="2" t="s">
        <v>16</v>
      </c>
      <c r="D196" s="2" t="s">
        <v>223</v>
      </c>
      <c r="E196" s="2" t="s">
        <v>14</v>
      </c>
      <c r="F196">
        <v>52</v>
      </c>
      <c r="G196" s="2" t="s">
        <v>19</v>
      </c>
      <c r="H196">
        <v>1</v>
      </c>
      <c r="I196">
        <v>30</v>
      </c>
      <c r="J196">
        <v>30</v>
      </c>
      <c r="K196">
        <v>30</v>
      </c>
      <c r="L196">
        <v>2023</v>
      </c>
      <c r="M196">
        <v>76</v>
      </c>
      <c r="N196">
        <v>45010</v>
      </c>
      <c r="O196" t="str">
        <v>March</v>
      </c>
      <c r="P196" t="str">
        <v>CUST076</v>
      </c>
      <c r="Q196" t="str">
        <v>Female</v>
      </c>
      <c r="R196">
        <v>22</v>
      </c>
      <c r="S196" t="str">
        <v>Electronics</v>
      </c>
      <c r="T196">
        <v>2</v>
      </c>
      <c r="U196">
        <v>50</v>
      </c>
      <c r="V196">
        <v>100</v>
      </c>
      <c r="W196">
        <v>100</v>
      </c>
      <c r="X196">
        <v>2023</v>
      </c>
    </row>
    <row r="197" spans="1:24" x14ac:dyDescent="0.35">
      <c r="A197">
        <v>196</v>
      </c>
      <c r="B197" s="1">
        <v>45199</v>
      </c>
      <c r="C197" s="2" t="s">
        <v>44</v>
      </c>
      <c r="D197" s="2" t="s">
        <v>224</v>
      </c>
      <c r="E197" s="2" t="s">
        <v>18</v>
      </c>
      <c r="F197">
        <v>32</v>
      </c>
      <c r="G197" s="2" t="s">
        <v>19</v>
      </c>
      <c r="H197">
        <v>3</v>
      </c>
      <c r="I197">
        <v>300</v>
      </c>
      <c r="J197">
        <v>900</v>
      </c>
      <c r="K197">
        <v>900</v>
      </c>
      <c r="L197">
        <v>2023</v>
      </c>
      <c r="M197">
        <v>77</v>
      </c>
      <c r="N197">
        <v>45116</v>
      </c>
      <c r="O197" t="str">
        <v>July</v>
      </c>
      <c r="P197" t="str">
        <v>CUST077</v>
      </c>
      <c r="Q197" t="str">
        <v>Female</v>
      </c>
      <c r="R197">
        <v>47</v>
      </c>
      <c r="S197" t="str">
        <v>Clothing</v>
      </c>
      <c r="T197">
        <v>2</v>
      </c>
      <c r="U197">
        <v>50</v>
      </c>
      <c r="V197">
        <v>100</v>
      </c>
      <c r="W197">
        <v>100</v>
      </c>
      <c r="X197">
        <v>2023</v>
      </c>
    </row>
    <row r="198" spans="1:24" x14ac:dyDescent="0.35">
      <c r="A198">
        <v>197</v>
      </c>
      <c r="B198" s="1">
        <v>44991</v>
      </c>
      <c r="C198" s="2" t="s">
        <v>28</v>
      </c>
      <c r="D198" s="2" t="s">
        <v>225</v>
      </c>
      <c r="E198" s="2" t="s">
        <v>18</v>
      </c>
      <c r="F198">
        <v>42</v>
      </c>
      <c r="G198" s="2" t="s">
        <v>19</v>
      </c>
      <c r="H198">
        <v>4</v>
      </c>
      <c r="I198">
        <v>50</v>
      </c>
      <c r="J198">
        <v>200</v>
      </c>
      <c r="K198">
        <v>200</v>
      </c>
      <c r="L198">
        <v>2023</v>
      </c>
      <c r="M198">
        <v>78</v>
      </c>
      <c r="N198">
        <v>45108</v>
      </c>
      <c r="O198" t="str">
        <v>July</v>
      </c>
      <c r="P198" t="str">
        <v>CUST078</v>
      </c>
      <c r="Q198" t="str">
        <v>Female</v>
      </c>
      <c r="R198">
        <v>47</v>
      </c>
      <c r="S198" t="str">
        <v>Clothing</v>
      </c>
      <c r="T198">
        <v>3</v>
      </c>
      <c r="U198">
        <v>500</v>
      </c>
      <c r="V198">
        <v>1500</v>
      </c>
      <c r="W198">
        <v>1500</v>
      </c>
      <c r="X198">
        <v>2023</v>
      </c>
    </row>
    <row r="199" spans="1:24" x14ac:dyDescent="0.35">
      <c r="A199">
        <v>198</v>
      </c>
      <c r="B199" s="1">
        <v>44992</v>
      </c>
      <c r="C199" s="2" t="s">
        <v>28</v>
      </c>
      <c r="D199" s="2" t="s">
        <v>226</v>
      </c>
      <c r="E199" s="2" t="s">
        <v>18</v>
      </c>
      <c r="F199">
        <v>54</v>
      </c>
      <c r="G199" s="2" t="s">
        <v>15</v>
      </c>
      <c r="H199">
        <v>3</v>
      </c>
      <c r="I199">
        <v>300</v>
      </c>
      <c r="J199">
        <v>900</v>
      </c>
      <c r="K199">
        <v>900</v>
      </c>
      <c r="L199">
        <v>2023</v>
      </c>
      <c r="M199">
        <v>79</v>
      </c>
      <c r="N199">
        <v>45034</v>
      </c>
      <c r="O199" t="str">
        <v>April</v>
      </c>
      <c r="P199" t="str">
        <v>CUST079</v>
      </c>
      <c r="Q199" t="str">
        <v>Male</v>
      </c>
      <c r="R199">
        <v>34</v>
      </c>
      <c r="S199" t="str">
        <v>Beauty</v>
      </c>
      <c r="T199">
        <v>1</v>
      </c>
      <c r="U199">
        <v>300</v>
      </c>
      <c r="V199">
        <v>300</v>
      </c>
      <c r="W199">
        <v>300</v>
      </c>
      <c r="X199">
        <v>2023</v>
      </c>
    </row>
    <row r="200" spans="1:24" x14ac:dyDescent="0.35">
      <c r="A200">
        <v>199</v>
      </c>
      <c r="B200" s="1">
        <v>45264</v>
      </c>
      <c r="C200" s="2" t="s">
        <v>31</v>
      </c>
      <c r="D200" s="2" t="s">
        <v>227</v>
      </c>
      <c r="E200" s="2" t="s">
        <v>14</v>
      </c>
      <c r="F200">
        <v>45</v>
      </c>
      <c r="G200" s="2" t="s">
        <v>15</v>
      </c>
      <c r="H200">
        <v>3</v>
      </c>
      <c r="I200">
        <v>500</v>
      </c>
      <c r="J200">
        <v>1500</v>
      </c>
      <c r="K200">
        <v>1500</v>
      </c>
      <c r="L200">
        <v>2023</v>
      </c>
      <c r="M200">
        <v>80</v>
      </c>
      <c r="N200">
        <v>45270</v>
      </c>
      <c r="O200" t="str">
        <v>December</v>
      </c>
      <c r="P200" t="str">
        <v>CUST080</v>
      </c>
      <c r="Q200" t="str">
        <v>Female</v>
      </c>
      <c r="R200">
        <v>64</v>
      </c>
      <c r="S200" t="str">
        <v>Clothing</v>
      </c>
      <c r="T200">
        <v>2</v>
      </c>
      <c r="U200">
        <v>30</v>
      </c>
      <c r="V200">
        <v>60</v>
      </c>
      <c r="W200">
        <v>60</v>
      </c>
      <c r="X200">
        <v>2023</v>
      </c>
    </row>
    <row r="201" spans="1:24" x14ac:dyDescent="0.35">
      <c r="A201">
        <v>200</v>
      </c>
      <c r="B201" s="1">
        <v>45170</v>
      </c>
      <c r="C201" s="2" t="s">
        <v>44</v>
      </c>
      <c r="D201" s="2" t="s">
        <v>228</v>
      </c>
      <c r="E201" s="2" t="s">
        <v>14</v>
      </c>
      <c r="F201">
        <v>27</v>
      </c>
      <c r="G201" s="2" t="s">
        <v>15</v>
      </c>
      <c r="H201">
        <v>3</v>
      </c>
      <c r="I201">
        <v>50</v>
      </c>
      <c r="J201">
        <v>150</v>
      </c>
      <c r="K201">
        <v>150</v>
      </c>
      <c r="L201">
        <v>2023</v>
      </c>
      <c r="M201">
        <v>81</v>
      </c>
      <c r="N201">
        <v>45063</v>
      </c>
      <c r="O201" t="str">
        <v>May</v>
      </c>
      <c r="P201" t="str">
        <v>CUST081</v>
      </c>
      <c r="Q201" t="str">
        <v>Male</v>
      </c>
      <c r="R201">
        <v>40</v>
      </c>
      <c r="S201" t="str">
        <v>Electronics</v>
      </c>
      <c r="T201">
        <v>1</v>
      </c>
      <c r="U201">
        <v>50</v>
      </c>
      <c r="V201">
        <v>50</v>
      </c>
      <c r="W201">
        <v>50</v>
      </c>
      <c r="X201">
        <v>2023</v>
      </c>
    </row>
    <row r="202" spans="1:24" x14ac:dyDescent="0.35">
      <c r="A202">
        <v>201</v>
      </c>
      <c r="B202" s="1">
        <v>45208</v>
      </c>
      <c r="C202" s="2" t="s">
        <v>33</v>
      </c>
      <c r="D202" s="2" t="s">
        <v>229</v>
      </c>
      <c r="E202" s="2" t="s">
        <v>14</v>
      </c>
      <c r="F202">
        <v>56</v>
      </c>
      <c r="G202" s="2" t="s">
        <v>22</v>
      </c>
      <c r="H202">
        <v>1</v>
      </c>
      <c r="I202">
        <v>25</v>
      </c>
      <c r="J202">
        <v>25</v>
      </c>
      <c r="K202">
        <v>25</v>
      </c>
      <c r="L202">
        <v>2023</v>
      </c>
      <c r="M202">
        <v>82</v>
      </c>
      <c r="N202">
        <v>45286</v>
      </c>
      <c r="O202" t="str">
        <v>December</v>
      </c>
      <c r="P202" t="str">
        <v>CUST082</v>
      </c>
      <c r="Q202" t="str">
        <v>Female</v>
      </c>
      <c r="R202">
        <v>32</v>
      </c>
      <c r="S202" t="str">
        <v>Beauty</v>
      </c>
      <c r="T202">
        <v>4</v>
      </c>
      <c r="U202">
        <v>50</v>
      </c>
      <c r="V202">
        <v>200</v>
      </c>
      <c r="W202">
        <v>200</v>
      </c>
      <c r="X202">
        <v>2023</v>
      </c>
    </row>
    <row r="203" spans="1:24" x14ac:dyDescent="0.35">
      <c r="A203">
        <v>202</v>
      </c>
      <c r="B203" s="1">
        <v>45011</v>
      </c>
      <c r="C203" s="2" t="s">
        <v>28</v>
      </c>
      <c r="D203" s="2" t="s">
        <v>230</v>
      </c>
      <c r="E203" s="2" t="s">
        <v>18</v>
      </c>
      <c r="F203">
        <v>34</v>
      </c>
      <c r="G203" s="2" t="s">
        <v>19</v>
      </c>
      <c r="H203">
        <v>4</v>
      </c>
      <c r="I203">
        <v>300</v>
      </c>
      <c r="J203">
        <v>1200</v>
      </c>
      <c r="K203">
        <v>1200</v>
      </c>
      <c r="L203">
        <v>2023</v>
      </c>
      <c r="M203">
        <v>83</v>
      </c>
      <c r="N203">
        <v>45276</v>
      </c>
      <c r="O203" t="str">
        <v>December</v>
      </c>
      <c r="P203" t="str">
        <v>CUST083</v>
      </c>
      <c r="Q203" t="str">
        <v>Male</v>
      </c>
      <c r="R203">
        <v>54</v>
      </c>
      <c r="S203" t="str">
        <v>Electronics</v>
      </c>
      <c r="T203">
        <v>2</v>
      </c>
      <c r="U203">
        <v>50</v>
      </c>
      <c r="V203">
        <v>100</v>
      </c>
      <c r="W203">
        <v>100</v>
      </c>
      <c r="X203">
        <v>2023</v>
      </c>
    </row>
    <row r="204" spans="1:24" x14ac:dyDescent="0.35">
      <c r="A204">
        <v>203</v>
      </c>
      <c r="B204" s="1">
        <v>45062</v>
      </c>
      <c r="C204" s="2" t="s">
        <v>23</v>
      </c>
      <c r="D204" s="2" t="s">
        <v>231</v>
      </c>
      <c r="E204" s="2" t="s">
        <v>14</v>
      </c>
      <c r="F204">
        <v>56</v>
      </c>
      <c r="G204" s="2" t="s">
        <v>19</v>
      </c>
      <c r="H204">
        <v>2</v>
      </c>
      <c r="I204">
        <v>500</v>
      </c>
      <c r="J204">
        <v>1000</v>
      </c>
      <c r="K204">
        <v>1000</v>
      </c>
      <c r="L204">
        <v>2023</v>
      </c>
      <c r="M204">
        <v>84</v>
      </c>
      <c r="N204">
        <v>45258</v>
      </c>
      <c r="O204" t="str">
        <v>November</v>
      </c>
      <c r="P204" t="str">
        <v>CUST084</v>
      </c>
      <c r="Q204" t="str">
        <v>Female</v>
      </c>
      <c r="R204">
        <v>38</v>
      </c>
      <c r="S204" t="str">
        <v>Electronics</v>
      </c>
      <c r="T204">
        <v>3</v>
      </c>
      <c r="U204">
        <v>30</v>
      </c>
      <c r="V204">
        <v>90</v>
      </c>
      <c r="W204">
        <v>90</v>
      </c>
      <c r="X204">
        <v>2023</v>
      </c>
    </row>
    <row r="205" spans="1:24" x14ac:dyDescent="0.35">
      <c r="A205">
        <v>204</v>
      </c>
      <c r="B205" s="1">
        <v>45197</v>
      </c>
      <c r="C205" s="2" t="s">
        <v>44</v>
      </c>
      <c r="D205" s="2" t="s">
        <v>232</v>
      </c>
      <c r="E205" s="2" t="s">
        <v>14</v>
      </c>
      <c r="F205">
        <v>39</v>
      </c>
      <c r="G205" s="2" t="s">
        <v>15</v>
      </c>
      <c r="H205">
        <v>1</v>
      </c>
      <c r="I205">
        <v>25</v>
      </c>
      <c r="J205">
        <v>25</v>
      </c>
      <c r="K205">
        <v>25</v>
      </c>
      <c r="L205">
        <v>2023</v>
      </c>
      <c r="M205">
        <v>85</v>
      </c>
      <c r="N205">
        <v>44963</v>
      </c>
      <c r="O205" t="str">
        <v>February</v>
      </c>
      <c r="P205" t="str">
        <v>CUST085</v>
      </c>
      <c r="Q205" t="str">
        <v>Male</v>
      </c>
      <c r="R205">
        <v>31</v>
      </c>
      <c r="S205" t="str">
        <v>Clothing</v>
      </c>
      <c r="T205">
        <v>3</v>
      </c>
      <c r="U205">
        <v>50</v>
      </c>
      <c r="V205">
        <v>150</v>
      </c>
      <c r="W205">
        <v>150</v>
      </c>
      <c r="X205">
        <v>2023</v>
      </c>
    </row>
    <row r="206" spans="1:24" x14ac:dyDescent="0.35">
      <c r="A206">
        <v>205</v>
      </c>
      <c r="B206" s="1">
        <v>45237</v>
      </c>
      <c r="C206" s="2" t="s">
        <v>12</v>
      </c>
      <c r="D206" s="2" t="s">
        <v>233</v>
      </c>
      <c r="E206" s="2" t="s">
        <v>18</v>
      </c>
      <c r="F206">
        <v>43</v>
      </c>
      <c r="G206" s="2" t="s">
        <v>19</v>
      </c>
      <c r="H206">
        <v>1</v>
      </c>
      <c r="I206">
        <v>25</v>
      </c>
      <c r="J206">
        <v>25</v>
      </c>
      <c r="K206">
        <v>25</v>
      </c>
      <c r="L206">
        <v>2023</v>
      </c>
      <c r="M206">
        <v>86</v>
      </c>
      <c r="N206">
        <v>45238</v>
      </c>
      <c r="O206" t="str">
        <v>November</v>
      </c>
      <c r="P206" t="str">
        <v>CUST086</v>
      </c>
      <c r="Q206" t="str">
        <v>Male</v>
      </c>
      <c r="R206">
        <v>19</v>
      </c>
      <c r="S206" t="str">
        <v>Beauty</v>
      </c>
      <c r="T206">
        <v>3</v>
      </c>
      <c r="U206">
        <v>30</v>
      </c>
      <c r="V206">
        <v>90</v>
      </c>
      <c r="W206">
        <v>90</v>
      </c>
      <c r="X206">
        <v>2023</v>
      </c>
    </row>
    <row r="207" spans="1:24" x14ac:dyDescent="0.35">
      <c r="A207">
        <v>206</v>
      </c>
      <c r="B207" s="1">
        <v>45143</v>
      </c>
      <c r="C207" s="2" t="s">
        <v>37</v>
      </c>
      <c r="D207" s="2" t="s">
        <v>234</v>
      </c>
      <c r="E207" s="2" t="s">
        <v>14</v>
      </c>
      <c r="F207">
        <v>61</v>
      </c>
      <c r="G207" s="2" t="s">
        <v>19</v>
      </c>
      <c r="H207">
        <v>1</v>
      </c>
      <c r="I207">
        <v>25</v>
      </c>
      <c r="J207">
        <v>25</v>
      </c>
      <c r="K207">
        <v>25</v>
      </c>
      <c r="L207">
        <v>2023</v>
      </c>
      <c r="M207">
        <v>87</v>
      </c>
      <c r="N207">
        <v>45252</v>
      </c>
      <c r="O207" t="str">
        <v>November</v>
      </c>
      <c r="P207" t="str">
        <v>CUST087</v>
      </c>
      <c r="Q207" t="str">
        <v>Female</v>
      </c>
      <c r="R207">
        <v>28</v>
      </c>
      <c r="S207" t="str">
        <v>Beauty</v>
      </c>
      <c r="T207">
        <v>2</v>
      </c>
      <c r="U207">
        <v>50</v>
      </c>
      <c r="V207">
        <v>100</v>
      </c>
      <c r="W207">
        <v>100</v>
      </c>
      <c r="X207">
        <v>2023</v>
      </c>
    </row>
    <row r="208" spans="1:24" x14ac:dyDescent="0.35">
      <c r="A208">
        <v>207</v>
      </c>
      <c r="B208" s="1">
        <v>45035</v>
      </c>
      <c r="C208" s="2" t="s">
        <v>26</v>
      </c>
      <c r="D208" s="2" t="s">
        <v>235</v>
      </c>
      <c r="E208" s="2" t="s">
        <v>18</v>
      </c>
      <c r="F208">
        <v>42</v>
      </c>
      <c r="G208" s="2" t="s">
        <v>15</v>
      </c>
      <c r="H208">
        <v>2</v>
      </c>
      <c r="I208">
        <v>25</v>
      </c>
      <c r="J208">
        <v>50</v>
      </c>
      <c r="K208">
        <v>50</v>
      </c>
      <c r="L208">
        <v>2023</v>
      </c>
      <c r="M208">
        <v>88</v>
      </c>
      <c r="N208">
        <v>45014</v>
      </c>
      <c r="O208" t="str">
        <v>March</v>
      </c>
      <c r="P208" t="str">
        <v>CUST088</v>
      </c>
      <c r="Q208" t="str">
        <v>Male</v>
      </c>
      <c r="R208">
        <v>56</v>
      </c>
      <c r="S208" t="str">
        <v>Clothing</v>
      </c>
      <c r="T208">
        <v>1</v>
      </c>
      <c r="U208">
        <v>500</v>
      </c>
      <c r="V208">
        <v>500</v>
      </c>
      <c r="W208">
        <v>500</v>
      </c>
      <c r="X208">
        <v>2023</v>
      </c>
    </row>
    <row r="209" spans="1:24" x14ac:dyDescent="0.35">
      <c r="A209">
        <v>208</v>
      </c>
      <c r="B209" s="1">
        <v>45203</v>
      </c>
      <c r="C209" s="2" t="s">
        <v>33</v>
      </c>
      <c r="D209" s="2" t="s">
        <v>236</v>
      </c>
      <c r="E209" s="2" t="s">
        <v>18</v>
      </c>
      <c r="F209">
        <v>34</v>
      </c>
      <c r="G209" s="2" t="s">
        <v>22</v>
      </c>
      <c r="H209">
        <v>4</v>
      </c>
      <c r="I209">
        <v>50</v>
      </c>
      <c r="J209">
        <v>200</v>
      </c>
      <c r="K209">
        <v>200</v>
      </c>
      <c r="L209">
        <v>2023</v>
      </c>
      <c r="M209">
        <v>89</v>
      </c>
      <c r="N209">
        <v>45200</v>
      </c>
      <c r="O209" t="str">
        <v>October</v>
      </c>
      <c r="P209" t="str">
        <v>CUST089</v>
      </c>
      <c r="Q209" t="str">
        <v>Female</v>
      </c>
      <c r="R209">
        <v>55</v>
      </c>
      <c r="S209" t="str">
        <v>Electronics</v>
      </c>
      <c r="T209">
        <v>4</v>
      </c>
      <c r="U209">
        <v>500</v>
      </c>
      <c r="V209">
        <v>2000</v>
      </c>
      <c r="W209">
        <v>2000</v>
      </c>
      <c r="X209">
        <v>2023</v>
      </c>
    </row>
    <row r="210" spans="1:24" x14ac:dyDescent="0.35">
      <c r="A210">
        <v>209</v>
      </c>
      <c r="B210" s="1">
        <v>45280</v>
      </c>
      <c r="C210" s="2" t="s">
        <v>31</v>
      </c>
      <c r="D210" s="2" t="s">
        <v>237</v>
      </c>
      <c r="E210" s="2" t="s">
        <v>18</v>
      </c>
      <c r="F210">
        <v>30</v>
      </c>
      <c r="G210" s="2" t="s">
        <v>22</v>
      </c>
      <c r="H210">
        <v>4</v>
      </c>
      <c r="I210">
        <v>50</v>
      </c>
      <c r="J210">
        <v>200</v>
      </c>
      <c r="K210">
        <v>200</v>
      </c>
      <c r="L210">
        <v>2023</v>
      </c>
      <c r="M210">
        <v>90</v>
      </c>
      <c r="N210">
        <v>45052</v>
      </c>
      <c r="O210" t="str">
        <v>May</v>
      </c>
      <c r="P210" t="str">
        <v>CUST090</v>
      </c>
      <c r="Q210" t="str">
        <v>Female</v>
      </c>
      <c r="R210">
        <v>51</v>
      </c>
      <c r="S210" t="str">
        <v>Electronics</v>
      </c>
      <c r="T210">
        <v>1</v>
      </c>
      <c r="U210">
        <v>30</v>
      </c>
      <c r="V210">
        <v>30</v>
      </c>
      <c r="W210">
        <v>30</v>
      </c>
      <c r="X210">
        <v>2023</v>
      </c>
    </row>
    <row r="211" spans="1:24" x14ac:dyDescent="0.35">
      <c r="A211">
        <v>210</v>
      </c>
      <c r="B211" s="1">
        <v>45029</v>
      </c>
      <c r="C211" s="2" t="s">
        <v>26</v>
      </c>
      <c r="D211" s="2" t="s">
        <v>238</v>
      </c>
      <c r="E211" s="2" t="s">
        <v>14</v>
      </c>
      <c r="F211">
        <v>37</v>
      </c>
      <c r="G211" s="2" t="s">
        <v>22</v>
      </c>
      <c r="H211">
        <v>4</v>
      </c>
      <c r="I211">
        <v>50</v>
      </c>
      <c r="J211">
        <v>200</v>
      </c>
      <c r="K211">
        <v>200</v>
      </c>
      <c r="L211">
        <v>2023</v>
      </c>
      <c r="M211">
        <v>91</v>
      </c>
      <c r="N211">
        <v>45010</v>
      </c>
      <c r="O211" t="str">
        <v>March</v>
      </c>
      <c r="P211" t="str">
        <v>CUST091</v>
      </c>
      <c r="Q211" t="str">
        <v>Female</v>
      </c>
      <c r="R211">
        <v>55</v>
      </c>
      <c r="S211" t="str">
        <v>Electronics</v>
      </c>
      <c r="T211">
        <v>1</v>
      </c>
      <c r="U211">
        <v>500</v>
      </c>
      <c r="V211">
        <v>500</v>
      </c>
      <c r="W211">
        <v>500</v>
      </c>
      <c r="X211">
        <v>2023</v>
      </c>
    </row>
    <row r="212" spans="1:24" x14ac:dyDescent="0.35">
      <c r="A212">
        <v>211</v>
      </c>
      <c r="B212" s="1">
        <v>45292</v>
      </c>
      <c r="C212" s="2" t="s">
        <v>20</v>
      </c>
      <c r="D212" s="2" t="s">
        <v>239</v>
      </c>
      <c r="E212" s="2" t="s">
        <v>14</v>
      </c>
      <c r="F212">
        <v>42</v>
      </c>
      <c r="G212" s="2" t="s">
        <v>15</v>
      </c>
      <c r="H212">
        <v>3</v>
      </c>
      <c r="I212">
        <v>500</v>
      </c>
      <c r="J212">
        <v>1500</v>
      </c>
      <c r="K212">
        <v>1500</v>
      </c>
      <c r="L212">
        <v>2024</v>
      </c>
      <c r="M212">
        <v>92</v>
      </c>
      <c r="N212">
        <v>45163</v>
      </c>
      <c r="O212" t="str">
        <v>August</v>
      </c>
      <c r="P212" t="str">
        <v>CUST092</v>
      </c>
      <c r="Q212" t="str">
        <v>Female</v>
      </c>
      <c r="R212">
        <v>51</v>
      </c>
      <c r="S212" t="str">
        <v>Electronics</v>
      </c>
      <c r="T212">
        <v>4</v>
      </c>
      <c r="U212">
        <v>30</v>
      </c>
      <c r="V212">
        <v>120</v>
      </c>
      <c r="W212">
        <v>120</v>
      </c>
      <c r="X212">
        <v>2023</v>
      </c>
    </row>
    <row r="213" spans="1:24" x14ac:dyDescent="0.35">
      <c r="A213">
        <v>212</v>
      </c>
      <c r="B213" s="1">
        <v>45086</v>
      </c>
      <c r="C213" s="2" t="s">
        <v>62</v>
      </c>
      <c r="D213" s="2" t="s">
        <v>240</v>
      </c>
      <c r="E213" s="2" t="s">
        <v>14</v>
      </c>
      <c r="F213">
        <v>21</v>
      </c>
      <c r="G213" s="2" t="s">
        <v>19</v>
      </c>
      <c r="H213">
        <v>3</v>
      </c>
      <c r="I213">
        <v>500</v>
      </c>
      <c r="J213">
        <v>1500</v>
      </c>
      <c r="K213">
        <v>1500</v>
      </c>
      <c r="L213">
        <v>2023</v>
      </c>
      <c r="M213">
        <v>93</v>
      </c>
      <c r="N213">
        <v>45121</v>
      </c>
      <c r="O213" t="str">
        <v>July</v>
      </c>
      <c r="P213" t="str">
        <v>CUST093</v>
      </c>
      <c r="Q213" t="str">
        <v>Female</v>
      </c>
      <c r="R213">
        <v>35</v>
      </c>
      <c r="S213" t="str">
        <v>Beauty</v>
      </c>
      <c r="T213">
        <v>4</v>
      </c>
      <c r="U213">
        <v>500</v>
      </c>
      <c r="V213">
        <v>2000</v>
      </c>
      <c r="W213">
        <v>2000</v>
      </c>
      <c r="X213">
        <v>2023</v>
      </c>
    </row>
    <row r="214" spans="1:24" x14ac:dyDescent="0.35">
      <c r="A214">
        <v>213</v>
      </c>
      <c r="B214" s="1">
        <v>45131</v>
      </c>
      <c r="C214" s="2" t="s">
        <v>70</v>
      </c>
      <c r="D214" s="2" t="s">
        <v>241</v>
      </c>
      <c r="E214" s="2" t="s">
        <v>14</v>
      </c>
      <c r="F214">
        <v>27</v>
      </c>
      <c r="G214" s="2" t="s">
        <v>15</v>
      </c>
      <c r="H214">
        <v>3</v>
      </c>
      <c r="I214">
        <v>500</v>
      </c>
      <c r="J214">
        <v>1500</v>
      </c>
      <c r="K214">
        <v>1500</v>
      </c>
      <c r="L214">
        <v>2023</v>
      </c>
      <c r="M214">
        <v>94</v>
      </c>
      <c r="N214">
        <v>45065</v>
      </c>
      <c r="O214" t="str">
        <v>May</v>
      </c>
      <c r="P214" t="str">
        <v>CUST094</v>
      </c>
      <c r="Q214" t="str">
        <v>Female</v>
      </c>
      <c r="R214">
        <v>47</v>
      </c>
      <c r="S214" t="str">
        <v>Beauty</v>
      </c>
      <c r="T214">
        <v>2</v>
      </c>
      <c r="U214">
        <v>500</v>
      </c>
      <c r="V214">
        <v>1000</v>
      </c>
      <c r="W214">
        <v>1000</v>
      </c>
      <c r="X214">
        <v>2023</v>
      </c>
    </row>
    <row r="215" spans="1:24" x14ac:dyDescent="0.35">
      <c r="A215">
        <v>214</v>
      </c>
      <c r="B215" s="1">
        <v>45270</v>
      </c>
      <c r="C215" s="2" t="s">
        <v>31</v>
      </c>
      <c r="D215" s="2" t="s">
        <v>242</v>
      </c>
      <c r="E215" s="2" t="s">
        <v>14</v>
      </c>
      <c r="F215">
        <v>20</v>
      </c>
      <c r="G215" s="2" t="s">
        <v>15</v>
      </c>
      <c r="H215">
        <v>2</v>
      </c>
      <c r="I215">
        <v>30</v>
      </c>
      <c r="J215">
        <v>60</v>
      </c>
      <c r="K215">
        <v>60</v>
      </c>
      <c r="L215">
        <v>2023</v>
      </c>
      <c r="M215">
        <v>95</v>
      </c>
      <c r="N215">
        <v>45254</v>
      </c>
      <c r="O215" t="str">
        <v>November</v>
      </c>
      <c r="P215" t="str">
        <v>CUST095</v>
      </c>
      <c r="Q215" t="str">
        <v>Female</v>
      </c>
      <c r="R215">
        <v>32</v>
      </c>
      <c r="S215" t="str">
        <v>Clothing</v>
      </c>
      <c r="T215">
        <v>2</v>
      </c>
      <c r="U215">
        <v>30</v>
      </c>
      <c r="V215">
        <v>60</v>
      </c>
      <c r="W215">
        <v>60</v>
      </c>
      <c r="X215">
        <v>2023</v>
      </c>
    </row>
    <row r="216" spans="1:24" x14ac:dyDescent="0.35">
      <c r="A216">
        <v>215</v>
      </c>
      <c r="B216" s="1">
        <v>45259</v>
      </c>
      <c r="C216" s="2" t="s">
        <v>12</v>
      </c>
      <c r="D216" s="2" t="s">
        <v>243</v>
      </c>
      <c r="E216" s="2" t="s">
        <v>14</v>
      </c>
      <c r="F216">
        <v>58</v>
      </c>
      <c r="G216" s="2" t="s">
        <v>19</v>
      </c>
      <c r="H216">
        <v>3</v>
      </c>
      <c r="I216">
        <v>500</v>
      </c>
      <c r="J216">
        <v>1500</v>
      </c>
      <c r="K216">
        <v>1500</v>
      </c>
      <c r="L216">
        <v>2023</v>
      </c>
      <c r="M216">
        <v>96</v>
      </c>
      <c r="N216">
        <v>45279</v>
      </c>
      <c r="O216" t="str">
        <v>December</v>
      </c>
      <c r="P216" t="str">
        <v>CUST096</v>
      </c>
      <c r="Q216" t="str">
        <v>Female</v>
      </c>
      <c r="R216">
        <v>44</v>
      </c>
      <c r="S216" t="str">
        <v>Clothing</v>
      </c>
      <c r="T216">
        <v>2</v>
      </c>
      <c r="U216">
        <v>300</v>
      </c>
      <c r="V216">
        <v>600</v>
      </c>
      <c r="W216">
        <v>600</v>
      </c>
      <c r="X216">
        <v>2023</v>
      </c>
    </row>
    <row r="217" spans="1:24" x14ac:dyDescent="0.35">
      <c r="A217">
        <v>216</v>
      </c>
      <c r="B217" s="1">
        <v>45118</v>
      </c>
      <c r="C217" s="2" t="s">
        <v>70</v>
      </c>
      <c r="D217" s="2" t="s">
        <v>244</v>
      </c>
      <c r="E217" s="2" t="s">
        <v>14</v>
      </c>
      <c r="F217">
        <v>62</v>
      </c>
      <c r="G217" s="2" t="s">
        <v>22</v>
      </c>
      <c r="H217">
        <v>2</v>
      </c>
      <c r="I217">
        <v>50</v>
      </c>
      <c r="J217">
        <v>100</v>
      </c>
      <c r="K217">
        <v>100</v>
      </c>
      <c r="L217">
        <v>2023</v>
      </c>
      <c r="M217">
        <v>97</v>
      </c>
      <c r="N217">
        <v>45212</v>
      </c>
      <c r="O217" t="str">
        <v>October</v>
      </c>
      <c r="P217" t="str">
        <v>CUST097</v>
      </c>
      <c r="Q217" t="str">
        <v>Female</v>
      </c>
      <c r="R217">
        <v>51</v>
      </c>
      <c r="S217" t="str">
        <v>Beauty</v>
      </c>
      <c r="T217">
        <v>2</v>
      </c>
      <c r="U217">
        <v>500</v>
      </c>
      <c r="V217">
        <v>1000</v>
      </c>
      <c r="W217">
        <v>1000</v>
      </c>
      <c r="X217">
        <v>2023</v>
      </c>
    </row>
    <row r="218" spans="1:24" x14ac:dyDescent="0.35">
      <c r="A218">
        <v>217</v>
      </c>
      <c r="B218" s="1">
        <v>45151</v>
      </c>
      <c r="C218" s="2" t="s">
        <v>37</v>
      </c>
      <c r="D218" s="2" t="s">
        <v>245</v>
      </c>
      <c r="E218" s="2" t="s">
        <v>18</v>
      </c>
      <c r="F218">
        <v>35</v>
      </c>
      <c r="G218" s="2" t="s">
        <v>22</v>
      </c>
      <c r="H218">
        <v>4</v>
      </c>
      <c r="I218">
        <v>50</v>
      </c>
      <c r="J218">
        <v>200</v>
      </c>
      <c r="K218">
        <v>200</v>
      </c>
      <c r="L218">
        <v>2023</v>
      </c>
      <c r="M218">
        <v>98</v>
      </c>
      <c r="N218">
        <v>45039</v>
      </c>
      <c r="O218" t="str">
        <v>April</v>
      </c>
      <c r="P218" t="str">
        <v>CUST098</v>
      </c>
      <c r="Q218" t="str">
        <v>Female</v>
      </c>
      <c r="R218">
        <v>55</v>
      </c>
      <c r="S218" t="str">
        <v>Beauty</v>
      </c>
      <c r="T218">
        <v>2</v>
      </c>
      <c r="U218">
        <v>50</v>
      </c>
      <c r="V218">
        <v>100</v>
      </c>
      <c r="W218">
        <v>100</v>
      </c>
      <c r="X218">
        <v>2023</v>
      </c>
    </row>
    <row r="219" spans="1:24" x14ac:dyDescent="0.35">
      <c r="A219">
        <v>218</v>
      </c>
      <c r="B219" s="1">
        <v>45191</v>
      </c>
      <c r="C219" s="2" t="s">
        <v>44</v>
      </c>
      <c r="D219" s="2" t="s">
        <v>246</v>
      </c>
      <c r="E219" s="2" t="s">
        <v>14</v>
      </c>
      <c r="F219">
        <v>64</v>
      </c>
      <c r="G219" s="2" t="s">
        <v>15</v>
      </c>
      <c r="H219">
        <v>3</v>
      </c>
      <c r="I219">
        <v>30</v>
      </c>
      <c r="J219">
        <v>90</v>
      </c>
      <c r="K219">
        <v>90</v>
      </c>
      <c r="L219">
        <v>2023</v>
      </c>
      <c r="M219">
        <v>99</v>
      </c>
      <c r="N219">
        <v>45277</v>
      </c>
      <c r="O219" t="str">
        <v>December</v>
      </c>
      <c r="P219" t="str">
        <v>CUST099</v>
      </c>
      <c r="Q219" t="str">
        <v>Female</v>
      </c>
      <c r="R219">
        <v>50</v>
      </c>
      <c r="S219" t="str">
        <v>Electronics</v>
      </c>
      <c r="T219">
        <v>4</v>
      </c>
      <c r="U219">
        <v>300</v>
      </c>
      <c r="V219">
        <v>1200</v>
      </c>
      <c r="W219">
        <v>1200</v>
      </c>
      <c r="X219">
        <v>2023</v>
      </c>
    </row>
    <row r="220" spans="1:24" x14ac:dyDescent="0.35">
      <c r="A220">
        <v>219</v>
      </c>
      <c r="B220" s="1">
        <v>45158</v>
      </c>
      <c r="C220" s="2" t="s">
        <v>37</v>
      </c>
      <c r="D220" s="2" t="s">
        <v>247</v>
      </c>
      <c r="E220" s="2" t="s">
        <v>18</v>
      </c>
      <c r="F220">
        <v>53</v>
      </c>
      <c r="G220" s="2" t="s">
        <v>22</v>
      </c>
      <c r="H220">
        <v>3</v>
      </c>
      <c r="I220">
        <v>30</v>
      </c>
      <c r="J220">
        <v>90</v>
      </c>
      <c r="K220">
        <v>90</v>
      </c>
      <c r="L220">
        <v>2023</v>
      </c>
      <c r="M220">
        <v>100</v>
      </c>
      <c r="N220">
        <v>45093</v>
      </c>
      <c r="O220" t="str">
        <v>June</v>
      </c>
      <c r="P220" t="str">
        <v>CUST100</v>
      </c>
      <c r="Q220" t="str">
        <v>Male</v>
      </c>
      <c r="R220">
        <v>41</v>
      </c>
      <c r="S220" t="str">
        <v>Electronics</v>
      </c>
      <c r="T220">
        <v>1</v>
      </c>
      <c r="U220">
        <v>30</v>
      </c>
      <c r="V220">
        <v>30</v>
      </c>
      <c r="W220">
        <v>30</v>
      </c>
      <c r="X220">
        <v>2023</v>
      </c>
    </row>
    <row r="221" spans="1:24" x14ac:dyDescent="0.35">
      <c r="A221">
        <v>220</v>
      </c>
      <c r="B221" s="1">
        <v>44988</v>
      </c>
      <c r="C221" s="2" t="s">
        <v>28</v>
      </c>
      <c r="D221" s="2" t="s">
        <v>248</v>
      </c>
      <c r="E221" s="2" t="s">
        <v>14</v>
      </c>
      <c r="F221">
        <v>64</v>
      </c>
      <c r="G221" s="2" t="s">
        <v>15</v>
      </c>
      <c r="H221">
        <v>1</v>
      </c>
      <c r="I221">
        <v>500</v>
      </c>
      <c r="J221">
        <v>500</v>
      </c>
      <c r="K221">
        <v>500</v>
      </c>
      <c r="L221">
        <v>2023</v>
      </c>
      <c r="M221">
        <v>101</v>
      </c>
      <c r="N221">
        <v>44955</v>
      </c>
      <c r="O221" t="str">
        <v>January</v>
      </c>
      <c r="P221" t="str">
        <v>CUST101</v>
      </c>
      <c r="Q221" t="str">
        <v>Male</v>
      </c>
      <c r="R221">
        <v>32</v>
      </c>
      <c r="S221" t="str">
        <v>Clothing</v>
      </c>
      <c r="T221">
        <v>2</v>
      </c>
      <c r="U221">
        <v>300</v>
      </c>
      <c r="V221">
        <v>600</v>
      </c>
      <c r="W221">
        <v>600</v>
      </c>
      <c r="X221">
        <v>2023</v>
      </c>
    </row>
    <row r="222" spans="1:24" x14ac:dyDescent="0.35">
      <c r="A222">
        <v>221</v>
      </c>
      <c r="B222" s="1">
        <v>45053</v>
      </c>
      <c r="C222" s="2" t="s">
        <v>23</v>
      </c>
      <c r="D222" s="2" t="s">
        <v>249</v>
      </c>
      <c r="E222" s="2" t="s">
        <v>14</v>
      </c>
      <c r="F222">
        <v>39</v>
      </c>
      <c r="G222" s="2" t="s">
        <v>15</v>
      </c>
      <c r="H222">
        <v>2</v>
      </c>
      <c r="I222">
        <v>300</v>
      </c>
      <c r="J222">
        <v>600</v>
      </c>
      <c r="K222">
        <v>600</v>
      </c>
      <c r="L222">
        <v>2023</v>
      </c>
      <c r="M222">
        <v>102</v>
      </c>
      <c r="N222">
        <v>45044</v>
      </c>
      <c r="O222" t="str">
        <v>April</v>
      </c>
      <c r="P222" t="str">
        <v>CUST102</v>
      </c>
      <c r="Q222" t="str">
        <v>Female</v>
      </c>
      <c r="R222">
        <v>47</v>
      </c>
      <c r="S222" t="str">
        <v>Beauty</v>
      </c>
      <c r="T222">
        <v>2</v>
      </c>
      <c r="U222">
        <v>25</v>
      </c>
      <c r="V222">
        <v>50</v>
      </c>
      <c r="W222">
        <v>50</v>
      </c>
      <c r="X222">
        <v>2023</v>
      </c>
    </row>
    <row r="223" spans="1:24" x14ac:dyDescent="0.35">
      <c r="A223">
        <v>222</v>
      </c>
      <c r="B223" s="1">
        <v>45042</v>
      </c>
      <c r="C223" s="2" t="s">
        <v>26</v>
      </c>
      <c r="D223" s="2" t="s">
        <v>250</v>
      </c>
      <c r="E223" s="2" t="s">
        <v>14</v>
      </c>
      <c r="F223">
        <v>51</v>
      </c>
      <c r="G223" s="2" t="s">
        <v>19</v>
      </c>
      <c r="H223">
        <v>4</v>
      </c>
      <c r="I223">
        <v>30</v>
      </c>
      <c r="J223">
        <v>120</v>
      </c>
      <c r="K223">
        <v>120</v>
      </c>
      <c r="L223">
        <v>2023</v>
      </c>
      <c r="M223">
        <v>103</v>
      </c>
      <c r="N223">
        <v>44943</v>
      </c>
      <c r="O223" t="str">
        <v>January</v>
      </c>
      <c r="P223" t="str">
        <v>CUST103</v>
      </c>
      <c r="Q223" t="str">
        <v>Female</v>
      </c>
      <c r="R223">
        <v>59</v>
      </c>
      <c r="S223" t="str">
        <v>Clothing</v>
      </c>
      <c r="T223">
        <v>1</v>
      </c>
      <c r="U223">
        <v>25</v>
      </c>
      <c r="V223">
        <v>25</v>
      </c>
      <c r="W223">
        <v>25</v>
      </c>
      <c r="X223">
        <v>2023</v>
      </c>
    </row>
    <row r="224" spans="1:24" x14ac:dyDescent="0.35">
      <c r="A224">
        <v>223</v>
      </c>
      <c r="B224" s="1">
        <v>44959</v>
      </c>
      <c r="C224" s="2" t="s">
        <v>16</v>
      </c>
      <c r="D224" s="2" t="s">
        <v>251</v>
      </c>
      <c r="E224" s="2" t="s">
        <v>18</v>
      </c>
      <c r="F224">
        <v>64</v>
      </c>
      <c r="G224" s="2" t="s">
        <v>19</v>
      </c>
      <c r="H224">
        <v>1</v>
      </c>
      <c r="I224">
        <v>25</v>
      </c>
      <c r="J224">
        <v>25</v>
      </c>
      <c r="K224">
        <v>25</v>
      </c>
      <c r="L224">
        <v>2023</v>
      </c>
      <c r="M224">
        <v>104</v>
      </c>
      <c r="N224">
        <v>45088</v>
      </c>
      <c r="O224" t="str">
        <v>June</v>
      </c>
      <c r="P224" t="str">
        <v>CUST104</v>
      </c>
      <c r="Q224" t="str">
        <v>Female</v>
      </c>
      <c r="R224">
        <v>34</v>
      </c>
      <c r="S224" t="str">
        <v>Beauty</v>
      </c>
      <c r="T224">
        <v>2</v>
      </c>
      <c r="U224">
        <v>500</v>
      </c>
      <c r="V224">
        <v>1000</v>
      </c>
      <c r="W224">
        <v>1000</v>
      </c>
      <c r="X224">
        <v>2023</v>
      </c>
    </row>
    <row r="225" spans="1:24" x14ac:dyDescent="0.35">
      <c r="A225">
        <v>224</v>
      </c>
      <c r="B225" s="1">
        <v>45100</v>
      </c>
      <c r="C225" s="2" t="s">
        <v>62</v>
      </c>
      <c r="D225" s="2" t="s">
        <v>252</v>
      </c>
      <c r="E225" s="2" t="s">
        <v>18</v>
      </c>
      <c r="F225">
        <v>25</v>
      </c>
      <c r="G225" s="2" t="s">
        <v>19</v>
      </c>
      <c r="H225">
        <v>1</v>
      </c>
      <c r="I225">
        <v>50</v>
      </c>
      <c r="J225">
        <v>50</v>
      </c>
      <c r="K225">
        <v>50</v>
      </c>
      <c r="L225">
        <v>2023</v>
      </c>
      <c r="M225">
        <v>105</v>
      </c>
      <c r="N225">
        <v>45132</v>
      </c>
      <c r="O225" t="str">
        <v>July</v>
      </c>
      <c r="P225" t="str">
        <v>CUST105</v>
      </c>
      <c r="Q225" t="str">
        <v>Female</v>
      </c>
      <c r="R225">
        <v>22</v>
      </c>
      <c r="S225" t="str">
        <v>Electronics</v>
      </c>
      <c r="T225">
        <v>1</v>
      </c>
      <c r="U225">
        <v>500</v>
      </c>
      <c r="V225">
        <v>500</v>
      </c>
      <c r="W225">
        <v>500</v>
      </c>
      <c r="X225">
        <v>2023</v>
      </c>
    </row>
    <row r="226" spans="1:24" x14ac:dyDescent="0.35">
      <c r="A226">
        <v>225</v>
      </c>
      <c r="B226" s="1">
        <v>44937</v>
      </c>
      <c r="C226" s="2" t="s">
        <v>20</v>
      </c>
      <c r="D226" s="2" t="s">
        <v>253</v>
      </c>
      <c r="E226" s="2" t="s">
        <v>18</v>
      </c>
      <c r="F226">
        <v>57</v>
      </c>
      <c r="G226" s="2" t="s">
        <v>15</v>
      </c>
      <c r="H226">
        <v>4</v>
      </c>
      <c r="I226">
        <v>25</v>
      </c>
      <c r="J226">
        <v>100</v>
      </c>
      <c r="K226">
        <v>100</v>
      </c>
      <c r="L226">
        <v>2023</v>
      </c>
      <c r="M226">
        <v>106</v>
      </c>
      <c r="N226">
        <v>45064</v>
      </c>
      <c r="O226" t="str">
        <v>May</v>
      </c>
      <c r="P226" t="str">
        <v>CUST106</v>
      </c>
      <c r="Q226" t="str">
        <v>Female</v>
      </c>
      <c r="R226">
        <v>46</v>
      </c>
      <c r="S226" t="str">
        <v>Clothing</v>
      </c>
      <c r="T226">
        <v>1</v>
      </c>
      <c r="U226">
        <v>50</v>
      </c>
      <c r="V226">
        <v>50</v>
      </c>
      <c r="W226">
        <v>50</v>
      </c>
      <c r="X226">
        <v>2023</v>
      </c>
    </row>
    <row r="227" spans="1:24" x14ac:dyDescent="0.35">
      <c r="A227">
        <v>226</v>
      </c>
      <c r="B227" s="1">
        <v>45228</v>
      </c>
      <c r="C227" s="2" t="s">
        <v>33</v>
      </c>
      <c r="D227" s="2" t="s">
        <v>254</v>
      </c>
      <c r="E227" s="2" t="s">
        <v>18</v>
      </c>
      <c r="F227">
        <v>61</v>
      </c>
      <c r="G227" s="2" t="s">
        <v>19</v>
      </c>
      <c r="H227">
        <v>1</v>
      </c>
      <c r="I227">
        <v>50</v>
      </c>
      <c r="J227">
        <v>50</v>
      </c>
      <c r="K227">
        <v>50</v>
      </c>
      <c r="L227">
        <v>2023</v>
      </c>
      <c r="M227">
        <v>107</v>
      </c>
      <c r="N227">
        <v>44960</v>
      </c>
      <c r="O227" t="str">
        <v>February</v>
      </c>
      <c r="P227" t="str">
        <v>CUST107</v>
      </c>
      <c r="Q227" t="str">
        <v>Female</v>
      </c>
      <c r="R227">
        <v>21</v>
      </c>
      <c r="S227" t="str">
        <v>Clothing</v>
      </c>
      <c r="T227">
        <v>4</v>
      </c>
      <c r="U227">
        <v>300</v>
      </c>
      <c r="V227">
        <v>1200</v>
      </c>
      <c r="W227">
        <v>1200</v>
      </c>
      <c r="X227">
        <v>2023</v>
      </c>
    </row>
    <row r="228" spans="1:24" x14ac:dyDescent="0.35">
      <c r="A228">
        <v>227</v>
      </c>
      <c r="B228" s="1">
        <v>45210</v>
      </c>
      <c r="C228" s="2" t="s">
        <v>33</v>
      </c>
      <c r="D228" s="2" t="s">
        <v>255</v>
      </c>
      <c r="E228" s="2" t="s">
        <v>14</v>
      </c>
      <c r="F228">
        <v>36</v>
      </c>
      <c r="G228" s="2" t="s">
        <v>22</v>
      </c>
      <c r="H228">
        <v>2</v>
      </c>
      <c r="I228">
        <v>50</v>
      </c>
      <c r="J228">
        <v>100</v>
      </c>
      <c r="K228">
        <v>100</v>
      </c>
      <c r="L228">
        <v>2023</v>
      </c>
      <c r="M228">
        <v>108</v>
      </c>
      <c r="N228">
        <v>45035</v>
      </c>
      <c r="O228" t="str">
        <v>April</v>
      </c>
      <c r="P228" t="str">
        <v>CUST108</v>
      </c>
      <c r="Q228" t="str">
        <v>Female</v>
      </c>
      <c r="R228">
        <v>27</v>
      </c>
      <c r="S228" t="str">
        <v>Beauty</v>
      </c>
      <c r="T228">
        <v>3</v>
      </c>
      <c r="U228">
        <v>25</v>
      </c>
      <c r="V228">
        <v>75</v>
      </c>
      <c r="W228">
        <v>75</v>
      </c>
      <c r="X228">
        <v>2023</v>
      </c>
    </row>
    <row r="229" spans="1:24" x14ac:dyDescent="0.35">
      <c r="A229">
        <v>228</v>
      </c>
      <c r="B229" s="1">
        <v>45044</v>
      </c>
      <c r="C229" s="2" t="s">
        <v>26</v>
      </c>
      <c r="D229" s="2" t="s">
        <v>256</v>
      </c>
      <c r="E229" s="2" t="s">
        <v>18</v>
      </c>
      <c r="F229">
        <v>59</v>
      </c>
      <c r="G229" s="2" t="s">
        <v>22</v>
      </c>
      <c r="H229">
        <v>2</v>
      </c>
      <c r="I229">
        <v>30</v>
      </c>
      <c r="J229">
        <v>60</v>
      </c>
      <c r="K229">
        <v>60</v>
      </c>
      <c r="L229">
        <v>2023</v>
      </c>
      <c r="M229">
        <v>109</v>
      </c>
      <c r="N229">
        <v>45217</v>
      </c>
      <c r="O229" t="str">
        <v>October</v>
      </c>
      <c r="P229" t="str">
        <v>CUST109</v>
      </c>
      <c r="Q229" t="str">
        <v>Female</v>
      </c>
      <c r="R229">
        <v>34</v>
      </c>
      <c r="S229" t="str">
        <v>Electronics</v>
      </c>
      <c r="T229">
        <v>4</v>
      </c>
      <c r="U229">
        <v>500</v>
      </c>
      <c r="V229">
        <v>2000</v>
      </c>
      <c r="W229">
        <v>2000</v>
      </c>
      <c r="X229">
        <v>2023</v>
      </c>
    </row>
    <row r="230" spans="1:24" x14ac:dyDescent="0.35">
      <c r="A230">
        <v>229</v>
      </c>
      <c r="B230" s="1">
        <v>45228</v>
      </c>
      <c r="C230" s="2" t="s">
        <v>33</v>
      </c>
      <c r="D230" s="2" t="s">
        <v>257</v>
      </c>
      <c r="E230" s="2" t="s">
        <v>14</v>
      </c>
      <c r="F230">
        <v>58</v>
      </c>
      <c r="G230" s="2" t="s">
        <v>15</v>
      </c>
      <c r="H230">
        <v>3</v>
      </c>
      <c r="I230">
        <v>30</v>
      </c>
      <c r="J230">
        <v>90</v>
      </c>
      <c r="K230">
        <v>90</v>
      </c>
      <c r="L230">
        <v>2023</v>
      </c>
      <c r="M230">
        <v>110</v>
      </c>
      <c r="N230">
        <v>45088</v>
      </c>
      <c r="O230" t="str">
        <v>June</v>
      </c>
      <c r="P230" t="str">
        <v>CUST110</v>
      </c>
      <c r="Q230" t="str">
        <v>Male</v>
      </c>
      <c r="R230">
        <v>27</v>
      </c>
      <c r="S230" t="str">
        <v>Clothing</v>
      </c>
      <c r="T230">
        <v>3</v>
      </c>
      <c r="U230">
        <v>300</v>
      </c>
      <c r="V230">
        <v>900</v>
      </c>
      <c r="W230">
        <v>900</v>
      </c>
      <c r="X230">
        <v>2023</v>
      </c>
    </row>
    <row r="231" spans="1:24" x14ac:dyDescent="0.35">
      <c r="A231">
        <v>230</v>
      </c>
      <c r="B231" s="1">
        <v>45039</v>
      </c>
      <c r="C231" s="2" t="s">
        <v>26</v>
      </c>
      <c r="D231" s="2" t="s">
        <v>258</v>
      </c>
      <c r="E231" s="2" t="s">
        <v>14</v>
      </c>
      <c r="F231">
        <v>54</v>
      </c>
      <c r="G231" s="2" t="s">
        <v>15</v>
      </c>
      <c r="H231">
        <v>1</v>
      </c>
      <c r="I231">
        <v>25</v>
      </c>
      <c r="J231">
        <v>25</v>
      </c>
      <c r="K231">
        <v>25</v>
      </c>
      <c r="L231">
        <v>2023</v>
      </c>
      <c r="M231">
        <v>111</v>
      </c>
      <c r="N231">
        <v>45035</v>
      </c>
      <c r="O231" t="str">
        <v>April</v>
      </c>
      <c r="P231" t="str">
        <v>CUST111</v>
      </c>
      <c r="Q231" t="str">
        <v>Female</v>
      </c>
      <c r="R231">
        <v>34</v>
      </c>
      <c r="S231" t="str">
        <v>Electronics</v>
      </c>
      <c r="T231">
        <v>3</v>
      </c>
      <c r="U231">
        <v>500</v>
      </c>
      <c r="V231">
        <v>1500</v>
      </c>
      <c r="W231">
        <v>1500</v>
      </c>
      <c r="X231">
        <v>2023</v>
      </c>
    </row>
    <row r="232" spans="1:24" x14ac:dyDescent="0.35">
      <c r="A232">
        <v>231</v>
      </c>
      <c r="B232" s="1">
        <v>44930</v>
      </c>
      <c r="C232" s="2" t="s">
        <v>20</v>
      </c>
      <c r="D232" s="2" t="s">
        <v>259</v>
      </c>
      <c r="E232" s="2" t="s">
        <v>18</v>
      </c>
      <c r="F232">
        <v>23</v>
      </c>
      <c r="G232" s="2" t="s">
        <v>19</v>
      </c>
      <c r="H232">
        <v>3</v>
      </c>
      <c r="I232">
        <v>50</v>
      </c>
      <c r="J232">
        <v>150</v>
      </c>
      <c r="K232">
        <v>150</v>
      </c>
      <c r="L232">
        <v>2023</v>
      </c>
      <c r="M232">
        <v>112</v>
      </c>
      <c r="N232">
        <v>45262</v>
      </c>
      <c r="O232" t="str">
        <v>December</v>
      </c>
      <c r="P232" t="str">
        <v>CUST112</v>
      </c>
      <c r="Q232" t="str">
        <v>Male</v>
      </c>
      <c r="R232">
        <v>37</v>
      </c>
      <c r="S232" t="str">
        <v>Clothing</v>
      </c>
      <c r="T232">
        <v>3</v>
      </c>
      <c r="U232">
        <v>500</v>
      </c>
      <c r="V232">
        <v>1500</v>
      </c>
      <c r="W232">
        <v>1500</v>
      </c>
      <c r="X232">
        <v>2023</v>
      </c>
    </row>
    <row r="233" spans="1:24" x14ac:dyDescent="0.35">
      <c r="A233">
        <v>232</v>
      </c>
      <c r="B233" s="1">
        <v>44963</v>
      </c>
      <c r="C233" s="2" t="s">
        <v>16</v>
      </c>
      <c r="D233" s="2" t="s">
        <v>260</v>
      </c>
      <c r="E233" s="2" t="s">
        <v>18</v>
      </c>
      <c r="F233">
        <v>43</v>
      </c>
      <c r="G233" s="2" t="s">
        <v>15</v>
      </c>
      <c r="H233">
        <v>1</v>
      </c>
      <c r="I233">
        <v>25</v>
      </c>
      <c r="J233">
        <v>25</v>
      </c>
      <c r="K233">
        <v>25</v>
      </c>
      <c r="L233">
        <v>2023</v>
      </c>
      <c r="M233">
        <v>113</v>
      </c>
      <c r="N233">
        <v>45182</v>
      </c>
      <c r="O233" t="str">
        <v>September</v>
      </c>
      <c r="P233" t="str">
        <v>CUST113</v>
      </c>
      <c r="Q233" t="str">
        <v>Female</v>
      </c>
      <c r="R233">
        <v>41</v>
      </c>
      <c r="S233" t="str">
        <v>Electronics</v>
      </c>
      <c r="T233">
        <v>2</v>
      </c>
      <c r="U233">
        <v>25</v>
      </c>
      <c r="V233">
        <v>50</v>
      </c>
      <c r="W233">
        <v>50</v>
      </c>
      <c r="X233">
        <v>2023</v>
      </c>
    </row>
    <row r="234" spans="1:24" x14ac:dyDescent="0.35">
      <c r="A234">
        <v>233</v>
      </c>
      <c r="B234" s="1">
        <v>45289</v>
      </c>
      <c r="C234" s="2" t="s">
        <v>31</v>
      </c>
      <c r="D234" s="2" t="s">
        <v>261</v>
      </c>
      <c r="E234" s="2" t="s">
        <v>18</v>
      </c>
      <c r="F234">
        <v>51</v>
      </c>
      <c r="G234" s="2" t="s">
        <v>15</v>
      </c>
      <c r="H234">
        <v>2</v>
      </c>
      <c r="I234">
        <v>300</v>
      </c>
      <c r="J234">
        <v>600</v>
      </c>
      <c r="K234">
        <v>600</v>
      </c>
      <c r="L234">
        <v>2023</v>
      </c>
      <c r="M234">
        <v>114</v>
      </c>
      <c r="N234">
        <v>45129</v>
      </c>
      <c r="O234" t="str">
        <v>July</v>
      </c>
      <c r="P234" t="str">
        <v>CUST114</v>
      </c>
      <c r="Q234" t="str">
        <v>Female</v>
      </c>
      <c r="R234">
        <v>22</v>
      </c>
      <c r="S234" t="str">
        <v>Beauty</v>
      </c>
      <c r="T234">
        <v>4</v>
      </c>
      <c r="U234">
        <v>25</v>
      </c>
      <c r="V234">
        <v>100</v>
      </c>
      <c r="W234">
        <v>100</v>
      </c>
      <c r="X234">
        <v>2023</v>
      </c>
    </row>
    <row r="235" spans="1:24" x14ac:dyDescent="0.35">
      <c r="A235">
        <v>234</v>
      </c>
      <c r="B235" s="1">
        <v>45250</v>
      </c>
      <c r="C235" s="2" t="s">
        <v>12</v>
      </c>
      <c r="D235" s="2" t="s">
        <v>262</v>
      </c>
      <c r="E235" s="2" t="s">
        <v>18</v>
      </c>
      <c r="F235">
        <v>62</v>
      </c>
      <c r="G235" s="2" t="s">
        <v>22</v>
      </c>
      <c r="H235">
        <v>2</v>
      </c>
      <c r="I235">
        <v>25</v>
      </c>
      <c r="J235">
        <v>50</v>
      </c>
      <c r="K235">
        <v>50</v>
      </c>
      <c r="L235">
        <v>2023</v>
      </c>
      <c r="M235">
        <v>115</v>
      </c>
      <c r="N235">
        <v>45256</v>
      </c>
      <c r="O235" t="str">
        <v>November</v>
      </c>
      <c r="P235" t="str">
        <v>CUST115</v>
      </c>
      <c r="Q235" t="str">
        <v>Male</v>
      </c>
      <c r="R235">
        <v>51</v>
      </c>
      <c r="S235" t="str">
        <v>Clothing</v>
      </c>
      <c r="T235">
        <v>3</v>
      </c>
      <c r="U235">
        <v>500</v>
      </c>
      <c r="V235">
        <v>1500</v>
      </c>
      <c r="W235">
        <v>1500</v>
      </c>
      <c r="X235">
        <v>2023</v>
      </c>
    </row>
    <row r="236" spans="1:24" x14ac:dyDescent="0.35">
      <c r="A236">
        <v>235</v>
      </c>
      <c r="B236" s="1">
        <v>44957</v>
      </c>
      <c r="C236" s="2" t="s">
        <v>20</v>
      </c>
      <c r="D236" s="2" t="s">
        <v>263</v>
      </c>
      <c r="E236" s="2" t="s">
        <v>18</v>
      </c>
      <c r="F236">
        <v>23</v>
      </c>
      <c r="G236" s="2" t="s">
        <v>22</v>
      </c>
      <c r="H236">
        <v>2</v>
      </c>
      <c r="I236">
        <v>500</v>
      </c>
      <c r="J236">
        <v>1000</v>
      </c>
      <c r="K236">
        <v>1000</v>
      </c>
      <c r="L236">
        <v>2023</v>
      </c>
      <c r="M236">
        <v>116</v>
      </c>
      <c r="N236">
        <v>45161</v>
      </c>
      <c r="O236" t="str">
        <v>August</v>
      </c>
      <c r="P236" t="str">
        <v>CUST116</v>
      </c>
      <c r="Q236" t="str">
        <v>Female</v>
      </c>
      <c r="R236">
        <v>23</v>
      </c>
      <c r="S236" t="str">
        <v>Clothing</v>
      </c>
      <c r="T236">
        <v>1</v>
      </c>
      <c r="U236">
        <v>30</v>
      </c>
      <c r="V236">
        <v>30</v>
      </c>
      <c r="W236">
        <v>30</v>
      </c>
      <c r="X236">
        <v>2023</v>
      </c>
    </row>
    <row r="237" spans="1:24" x14ac:dyDescent="0.35">
      <c r="A237">
        <v>236</v>
      </c>
      <c r="B237" s="1">
        <v>45044</v>
      </c>
      <c r="C237" s="2" t="s">
        <v>26</v>
      </c>
      <c r="D237" s="2" t="s">
        <v>264</v>
      </c>
      <c r="E237" s="2" t="s">
        <v>18</v>
      </c>
      <c r="F237">
        <v>54</v>
      </c>
      <c r="G237" s="2" t="s">
        <v>19</v>
      </c>
      <c r="H237">
        <v>1</v>
      </c>
      <c r="I237">
        <v>25</v>
      </c>
      <c r="J237">
        <v>25</v>
      </c>
      <c r="K237">
        <v>25</v>
      </c>
      <c r="L237">
        <v>2023</v>
      </c>
      <c r="M237">
        <v>117</v>
      </c>
      <c r="N237">
        <v>45000</v>
      </c>
      <c r="O237" t="str">
        <v>March</v>
      </c>
      <c r="P237" t="str">
        <v>CUST117</v>
      </c>
      <c r="Q237" t="str">
        <v>Male</v>
      </c>
      <c r="R237">
        <v>19</v>
      </c>
      <c r="S237" t="str">
        <v>Electronics</v>
      </c>
      <c r="T237">
        <v>2</v>
      </c>
      <c r="U237">
        <v>500</v>
      </c>
      <c r="V237">
        <v>1000</v>
      </c>
      <c r="W237">
        <v>1000</v>
      </c>
      <c r="X237">
        <v>2023</v>
      </c>
    </row>
    <row r="238" spans="1:24" x14ac:dyDescent="0.35">
      <c r="A238">
        <v>237</v>
      </c>
      <c r="B238" s="1">
        <v>44961</v>
      </c>
      <c r="C238" s="2" t="s">
        <v>16</v>
      </c>
      <c r="D238" s="2" t="s">
        <v>265</v>
      </c>
      <c r="E238" s="2" t="s">
        <v>18</v>
      </c>
      <c r="F238">
        <v>50</v>
      </c>
      <c r="G238" s="2" t="s">
        <v>15</v>
      </c>
      <c r="H238">
        <v>2</v>
      </c>
      <c r="I238">
        <v>500</v>
      </c>
      <c r="J238">
        <v>1000</v>
      </c>
      <c r="K238">
        <v>1000</v>
      </c>
      <c r="L238">
        <v>2023</v>
      </c>
      <c r="M238">
        <v>118</v>
      </c>
      <c r="N238">
        <v>45062</v>
      </c>
      <c r="O238" t="str">
        <v>May</v>
      </c>
      <c r="P238" t="str">
        <v>CUST118</v>
      </c>
      <c r="Q238" t="str">
        <v>Female</v>
      </c>
      <c r="R238">
        <v>30</v>
      </c>
      <c r="S238" t="str">
        <v>Electronics</v>
      </c>
      <c r="T238">
        <v>4</v>
      </c>
      <c r="U238">
        <v>500</v>
      </c>
      <c r="V238">
        <v>2000</v>
      </c>
      <c r="W238">
        <v>2000</v>
      </c>
      <c r="X238">
        <v>2023</v>
      </c>
    </row>
    <row r="239" spans="1:24" x14ac:dyDescent="0.35">
      <c r="A239">
        <v>238</v>
      </c>
      <c r="B239" s="1">
        <v>44943</v>
      </c>
      <c r="C239" s="2" t="s">
        <v>20</v>
      </c>
      <c r="D239" s="2" t="s">
        <v>266</v>
      </c>
      <c r="E239" s="2" t="s">
        <v>18</v>
      </c>
      <c r="F239">
        <v>39</v>
      </c>
      <c r="G239" s="2" t="s">
        <v>15</v>
      </c>
      <c r="H239">
        <v>1</v>
      </c>
      <c r="I239">
        <v>500</v>
      </c>
      <c r="J239">
        <v>500</v>
      </c>
      <c r="K239">
        <v>500</v>
      </c>
      <c r="L239">
        <v>2023</v>
      </c>
      <c r="M239">
        <v>119</v>
      </c>
      <c r="N239">
        <v>44998</v>
      </c>
      <c r="O239" t="str">
        <v>March</v>
      </c>
      <c r="P239" t="str">
        <v>CUST119</v>
      </c>
      <c r="Q239" t="str">
        <v>Female</v>
      </c>
      <c r="R239">
        <v>60</v>
      </c>
      <c r="S239" t="str">
        <v>Clothing</v>
      </c>
      <c r="T239">
        <v>3</v>
      </c>
      <c r="U239">
        <v>50</v>
      </c>
      <c r="V239">
        <v>150</v>
      </c>
      <c r="W239">
        <v>150</v>
      </c>
      <c r="X239">
        <v>2023</v>
      </c>
    </row>
    <row r="240" spans="1:24" x14ac:dyDescent="0.35">
      <c r="A240">
        <v>239</v>
      </c>
      <c r="B240" s="1">
        <v>45096</v>
      </c>
      <c r="C240" s="2" t="s">
        <v>62</v>
      </c>
      <c r="D240" s="2" t="s">
        <v>267</v>
      </c>
      <c r="E240" s="2" t="s">
        <v>14</v>
      </c>
      <c r="F240">
        <v>38</v>
      </c>
      <c r="G240" s="2" t="s">
        <v>22</v>
      </c>
      <c r="H240">
        <v>3</v>
      </c>
      <c r="I240">
        <v>500</v>
      </c>
      <c r="J240">
        <v>1500</v>
      </c>
      <c r="K240">
        <v>1500</v>
      </c>
      <c r="L240">
        <v>2023</v>
      </c>
      <c r="M240">
        <v>120</v>
      </c>
      <c r="N240">
        <v>45053</v>
      </c>
      <c r="O240" t="str">
        <v>May</v>
      </c>
      <c r="P240" t="str">
        <v>CUST120</v>
      </c>
      <c r="Q240" t="str">
        <v>Male</v>
      </c>
      <c r="R240">
        <v>60</v>
      </c>
      <c r="S240" t="str">
        <v>Beauty</v>
      </c>
      <c r="T240">
        <v>1</v>
      </c>
      <c r="U240">
        <v>50</v>
      </c>
      <c r="V240">
        <v>50</v>
      </c>
      <c r="W240">
        <v>50</v>
      </c>
      <c r="X240">
        <v>2023</v>
      </c>
    </row>
    <row r="241" spans="1:24" x14ac:dyDescent="0.35">
      <c r="A241">
        <v>240</v>
      </c>
      <c r="B241" s="1">
        <v>44963</v>
      </c>
      <c r="C241" s="2" t="s">
        <v>16</v>
      </c>
      <c r="D241" s="2" t="s">
        <v>268</v>
      </c>
      <c r="E241" s="2" t="s">
        <v>18</v>
      </c>
      <c r="F241">
        <v>23</v>
      </c>
      <c r="G241" s="2" t="s">
        <v>15</v>
      </c>
      <c r="H241">
        <v>1</v>
      </c>
      <c r="I241">
        <v>300</v>
      </c>
      <c r="J241">
        <v>300</v>
      </c>
      <c r="K241">
        <v>300</v>
      </c>
      <c r="L241">
        <v>2023</v>
      </c>
      <c r="M241">
        <v>121</v>
      </c>
      <c r="N241">
        <v>45214</v>
      </c>
      <c r="O241" t="str">
        <v>October</v>
      </c>
      <c r="P241" t="str">
        <v>CUST121</v>
      </c>
      <c r="Q241" t="str">
        <v>Female</v>
      </c>
      <c r="R241">
        <v>28</v>
      </c>
      <c r="S241" t="str">
        <v>Electronics</v>
      </c>
      <c r="T241">
        <v>4</v>
      </c>
      <c r="U241">
        <v>50</v>
      </c>
      <c r="V241">
        <v>200</v>
      </c>
      <c r="W241">
        <v>200</v>
      </c>
      <c r="X241">
        <v>2023</v>
      </c>
    </row>
    <row r="242" spans="1:24" x14ac:dyDescent="0.35">
      <c r="A242">
        <v>241</v>
      </c>
      <c r="B242" s="1">
        <v>45190</v>
      </c>
      <c r="C242" s="2" t="s">
        <v>44</v>
      </c>
      <c r="D242" s="2" t="s">
        <v>269</v>
      </c>
      <c r="E242" s="2" t="s">
        <v>18</v>
      </c>
      <c r="F242">
        <v>23</v>
      </c>
      <c r="G242" s="2" t="s">
        <v>22</v>
      </c>
      <c r="H242">
        <v>3</v>
      </c>
      <c r="I242">
        <v>25</v>
      </c>
      <c r="J242">
        <v>75</v>
      </c>
      <c r="K242">
        <v>75</v>
      </c>
      <c r="L242">
        <v>2023</v>
      </c>
      <c r="M242">
        <v>122</v>
      </c>
      <c r="N242">
        <v>45202</v>
      </c>
      <c r="O242" t="str">
        <v>October</v>
      </c>
      <c r="P242" t="str">
        <v>CUST122</v>
      </c>
      <c r="Q242" t="str">
        <v>Male</v>
      </c>
      <c r="R242">
        <v>64</v>
      </c>
      <c r="S242" t="str">
        <v>Electronics</v>
      </c>
      <c r="T242">
        <v>4</v>
      </c>
      <c r="U242">
        <v>30</v>
      </c>
      <c r="V242">
        <v>120</v>
      </c>
      <c r="W242">
        <v>120</v>
      </c>
      <c r="X242">
        <v>2023</v>
      </c>
    </row>
    <row r="243" spans="1:24" x14ac:dyDescent="0.35">
      <c r="A243">
        <v>242</v>
      </c>
      <c r="B243" s="1">
        <v>45048</v>
      </c>
      <c r="C243" s="2" t="s">
        <v>23</v>
      </c>
      <c r="D243" s="2" t="s">
        <v>270</v>
      </c>
      <c r="E243" s="2" t="s">
        <v>14</v>
      </c>
      <c r="F243">
        <v>21</v>
      </c>
      <c r="G243" s="2" t="s">
        <v>19</v>
      </c>
      <c r="H243">
        <v>1</v>
      </c>
      <c r="I243">
        <v>25</v>
      </c>
      <c r="J243">
        <v>25</v>
      </c>
      <c r="K243">
        <v>25</v>
      </c>
      <c r="L243">
        <v>2023</v>
      </c>
      <c r="M243">
        <v>123</v>
      </c>
      <c r="N243">
        <v>45061</v>
      </c>
      <c r="O243" t="str">
        <v>May</v>
      </c>
      <c r="P243" t="str">
        <v>CUST123</v>
      </c>
      <c r="Q243" t="str">
        <v>Female</v>
      </c>
      <c r="R243">
        <v>40</v>
      </c>
      <c r="S243" t="str">
        <v>Electronics</v>
      </c>
      <c r="T243">
        <v>2</v>
      </c>
      <c r="U243">
        <v>30</v>
      </c>
      <c r="V243">
        <v>60</v>
      </c>
      <c r="W243">
        <v>60</v>
      </c>
      <c r="X243">
        <v>2023</v>
      </c>
    </row>
    <row r="244" spans="1:24" x14ac:dyDescent="0.35">
      <c r="A244">
        <v>243</v>
      </c>
      <c r="B244" s="1">
        <v>45069</v>
      </c>
      <c r="C244" s="2" t="s">
        <v>23</v>
      </c>
      <c r="D244" s="2" t="s">
        <v>271</v>
      </c>
      <c r="E244" s="2" t="s">
        <v>18</v>
      </c>
      <c r="F244">
        <v>47</v>
      </c>
      <c r="G244" s="2" t="s">
        <v>22</v>
      </c>
      <c r="H244">
        <v>3</v>
      </c>
      <c r="I244">
        <v>300</v>
      </c>
      <c r="J244">
        <v>900</v>
      </c>
      <c r="K244">
        <v>900</v>
      </c>
      <c r="L244">
        <v>2023</v>
      </c>
      <c r="M244">
        <v>124</v>
      </c>
      <c r="N244">
        <v>45226</v>
      </c>
      <c r="O244" t="str">
        <v>October</v>
      </c>
      <c r="P244" t="str">
        <v>CUST124</v>
      </c>
      <c r="Q244" t="str">
        <v>Male</v>
      </c>
      <c r="R244">
        <v>33</v>
      </c>
      <c r="S244" t="str">
        <v>Clothing</v>
      </c>
      <c r="T244">
        <v>4</v>
      </c>
      <c r="U244">
        <v>500</v>
      </c>
      <c r="V244">
        <v>2000</v>
      </c>
      <c r="W244">
        <v>2000</v>
      </c>
      <c r="X244">
        <v>2023</v>
      </c>
    </row>
    <row r="245" spans="1:24" x14ac:dyDescent="0.35">
      <c r="A245">
        <v>244</v>
      </c>
      <c r="B245" s="1">
        <v>45269</v>
      </c>
      <c r="C245" s="2" t="s">
        <v>31</v>
      </c>
      <c r="D245" s="2" t="s">
        <v>272</v>
      </c>
      <c r="E245" s="2" t="s">
        <v>14</v>
      </c>
      <c r="F245">
        <v>28</v>
      </c>
      <c r="G245" s="2" t="s">
        <v>15</v>
      </c>
      <c r="H245">
        <v>2</v>
      </c>
      <c r="I245">
        <v>50</v>
      </c>
      <c r="J245">
        <v>100</v>
      </c>
      <c r="K245">
        <v>100</v>
      </c>
      <c r="L245">
        <v>2023</v>
      </c>
      <c r="M245">
        <v>125</v>
      </c>
      <c r="N245">
        <v>45146</v>
      </c>
      <c r="O245" t="str">
        <v>August</v>
      </c>
      <c r="P245" t="str">
        <v>CUST125</v>
      </c>
      <c r="Q245" t="str">
        <v>Male</v>
      </c>
      <c r="R245">
        <v>48</v>
      </c>
      <c r="S245" t="str">
        <v>Clothing</v>
      </c>
      <c r="T245">
        <v>2</v>
      </c>
      <c r="U245">
        <v>50</v>
      </c>
      <c r="V245">
        <v>100</v>
      </c>
      <c r="W245">
        <v>100</v>
      </c>
      <c r="X245">
        <v>2023</v>
      </c>
    </row>
    <row r="246" spans="1:24" x14ac:dyDescent="0.35">
      <c r="A246">
        <v>245</v>
      </c>
      <c r="B246" s="1">
        <v>45175</v>
      </c>
      <c r="C246" s="2" t="s">
        <v>44</v>
      </c>
      <c r="D246" s="2" t="s">
        <v>273</v>
      </c>
      <c r="E246" s="2" t="s">
        <v>14</v>
      </c>
      <c r="F246">
        <v>47</v>
      </c>
      <c r="G246" s="2" t="s">
        <v>19</v>
      </c>
      <c r="H246">
        <v>3</v>
      </c>
      <c r="I246">
        <v>30</v>
      </c>
      <c r="J246">
        <v>90</v>
      </c>
      <c r="K246">
        <v>90</v>
      </c>
      <c r="L246">
        <v>2023</v>
      </c>
      <c r="M246">
        <v>126</v>
      </c>
      <c r="N246">
        <v>45225</v>
      </c>
      <c r="O246" t="str">
        <v>October</v>
      </c>
      <c r="P246" t="str">
        <v>CUST126</v>
      </c>
      <c r="Q246" t="str">
        <v>Female</v>
      </c>
      <c r="R246">
        <v>28</v>
      </c>
      <c r="S246" t="str">
        <v>Clothing</v>
      </c>
      <c r="T246">
        <v>3</v>
      </c>
      <c r="U246">
        <v>30</v>
      </c>
      <c r="V246">
        <v>90</v>
      </c>
      <c r="W246">
        <v>90</v>
      </c>
      <c r="X246">
        <v>2023</v>
      </c>
    </row>
    <row r="247" spans="1:24" x14ac:dyDescent="0.35">
      <c r="A247">
        <v>246</v>
      </c>
      <c r="B247" s="1">
        <v>45036</v>
      </c>
      <c r="C247" s="2" t="s">
        <v>26</v>
      </c>
      <c r="D247" s="2" t="s">
        <v>274</v>
      </c>
      <c r="E247" s="2" t="s">
        <v>18</v>
      </c>
      <c r="F247">
        <v>48</v>
      </c>
      <c r="G247" s="2" t="s">
        <v>22</v>
      </c>
      <c r="H247">
        <v>2</v>
      </c>
      <c r="I247">
        <v>25</v>
      </c>
      <c r="J247">
        <v>50</v>
      </c>
      <c r="K247">
        <v>50</v>
      </c>
      <c r="L247">
        <v>2023</v>
      </c>
      <c r="M247">
        <v>127</v>
      </c>
      <c r="N247">
        <v>45131</v>
      </c>
      <c r="O247" t="str">
        <v>July</v>
      </c>
      <c r="P247" t="str">
        <v>CUST127</v>
      </c>
      <c r="Q247" t="str">
        <v>Female</v>
      </c>
      <c r="R247">
        <v>33</v>
      </c>
      <c r="S247" t="str">
        <v>Clothing</v>
      </c>
      <c r="T247">
        <v>2</v>
      </c>
      <c r="U247">
        <v>25</v>
      </c>
      <c r="V247">
        <v>50</v>
      </c>
      <c r="W247">
        <v>50</v>
      </c>
      <c r="X247">
        <v>2023</v>
      </c>
    </row>
    <row r="248" spans="1:24" x14ac:dyDescent="0.35">
      <c r="A248">
        <v>247</v>
      </c>
      <c r="B248" s="1">
        <v>45203</v>
      </c>
      <c r="C248" s="2" t="s">
        <v>33</v>
      </c>
      <c r="D248" s="2" t="s">
        <v>275</v>
      </c>
      <c r="E248" s="2" t="s">
        <v>14</v>
      </c>
      <c r="F248">
        <v>41</v>
      </c>
      <c r="G248" s="2" t="s">
        <v>22</v>
      </c>
      <c r="H248">
        <v>2</v>
      </c>
      <c r="I248">
        <v>30</v>
      </c>
      <c r="J248">
        <v>60</v>
      </c>
      <c r="K248">
        <v>60</v>
      </c>
      <c r="L248">
        <v>2023</v>
      </c>
      <c r="M248">
        <v>128</v>
      </c>
      <c r="N248">
        <v>45112</v>
      </c>
      <c r="O248" t="str">
        <v>July</v>
      </c>
      <c r="P248" t="str">
        <v>CUST128</v>
      </c>
      <c r="Q248" t="str">
        <v>Male</v>
      </c>
      <c r="R248">
        <v>25</v>
      </c>
      <c r="S248" t="str">
        <v>Beauty</v>
      </c>
      <c r="T248">
        <v>1</v>
      </c>
      <c r="U248">
        <v>500</v>
      </c>
      <c r="V248">
        <v>500</v>
      </c>
      <c r="W248">
        <v>500</v>
      </c>
      <c r="X248">
        <v>2023</v>
      </c>
    </row>
    <row r="249" spans="1:24" x14ac:dyDescent="0.35">
      <c r="A249">
        <v>248</v>
      </c>
      <c r="B249" s="1">
        <v>44994</v>
      </c>
      <c r="C249" s="2" t="s">
        <v>28</v>
      </c>
      <c r="D249" s="2" t="s">
        <v>276</v>
      </c>
      <c r="E249" s="2" t="s">
        <v>14</v>
      </c>
      <c r="F249">
        <v>26</v>
      </c>
      <c r="G249" s="2" t="s">
        <v>19</v>
      </c>
      <c r="H249">
        <v>3</v>
      </c>
      <c r="I249">
        <v>300</v>
      </c>
      <c r="J249">
        <v>900</v>
      </c>
      <c r="K249">
        <v>900</v>
      </c>
      <c r="L249">
        <v>2023</v>
      </c>
      <c r="M249">
        <v>129</v>
      </c>
      <c r="N249">
        <v>45039</v>
      </c>
      <c r="O249" t="str">
        <v>April</v>
      </c>
      <c r="P249" t="str">
        <v>CUST129</v>
      </c>
      <c r="Q249" t="str">
        <v>Female</v>
      </c>
      <c r="R249">
        <v>21</v>
      </c>
      <c r="S249" t="str">
        <v>Beauty</v>
      </c>
      <c r="T249">
        <v>2</v>
      </c>
      <c r="U249">
        <v>300</v>
      </c>
      <c r="V249">
        <v>600</v>
      </c>
      <c r="W249">
        <v>600</v>
      </c>
      <c r="X249">
        <v>2023</v>
      </c>
    </row>
    <row r="250" spans="1:24" x14ac:dyDescent="0.35">
      <c r="A250">
        <v>249</v>
      </c>
      <c r="B250" s="1">
        <v>45219</v>
      </c>
      <c r="C250" s="2" t="s">
        <v>33</v>
      </c>
      <c r="D250" s="2" t="s">
        <v>277</v>
      </c>
      <c r="E250" s="2" t="s">
        <v>14</v>
      </c>
      <c r="F250">
        <v>20</v>
      </c>
      <c r="G250" s="2" t="s">
        <v>19</v>
      </c>
      <c r="H250">
        <v>1</v>
      </c>
      <c r="I250">
        <v>50</v>
      </c>
      <c r="J250">
        <v>50</v>
      </c>
      <c r="K250">
        <v>50</v>
      </c>
      <c r="L250">
        <v>2023</v>
      </c>
      <c r="M250">
        <v>130</v>
      </c>
      <c r="N250">
        <v>44997</v>
      </c>
      <c r="O250" t="str">
        <v>March</v>
      </c>
      <c r="P250" t="str">
        <v>CUST130</v>
      </c>
      <c r="Q250" t="str">
        <v>Female</v>
      </c>
      <c r="R250">
        <v>57</v>
      </c>
      <c r="S250" t="str">
        <v>Clothing</v>
      </c>
      <c r="T250">
        <v>1</v>
      </c>
      <c r="U250">
        <v>500</v>
      </c>
      <c r="V250">
        <v>500</v>
      </c>
      <c r="W250">
        <v>500</v>
      </c>
      <c r="X250">
        <v>2023</v>
      </c>
    </row>
    <row r="251" spans="1:24" x14ac:dyDescent="0.35">
      <c r="A251">
        <v>250</v>
      </c>
      <c r="B251" s="1">
        <v>45222</v>
      </c>
      <c r="C251" s="2" t="s">
        <v>33</v>
      </c>
      <c r="D251" s="2" t="s">
        <v>278</v>
      </c>
      <c r="E251" s="2" t="s">
        <v>14</v>
      </c>
      <c r="F251">
        <v>48</v>
      </c>
      <c r="G251" s="2" t="s">
        <v>22</v>
      </c>
      <c r="H251">
        <v>1</v>
      </c>
      <c r="I251">
        <v>50</v>
      </c>
      <c r="J251">
        <v>50</v>
      </c>
      <c r="K251">
        <v>50</v>
      </c>
      <c r="L251">
        <v>2023</v>
      </c>
      <c r="M251">
        <v>131</v>
      </c>
      <c r="N251">
        <v>45187</v>
      </c>
      <c r="O251" t="str">
        <v>September</v>
      </c>
      <c r="P251" t="str">
        <v>CUST131</v>
      </c>
      <c r="Q251" t="str">
        <v>Female</v>
      </c>
      <c r="R251">
        <v>21</v>
      </c>
      <c r="S251" t="str">
        <v>Beauty</v>
      </c>
      <c r="T251">
        <v>2</v>
      </c>
      <c r="U251">
        <v>300</v>
      </c>
      <c r="V251">
        <v>600</v>
      </c>
      <c r="W251">
        <v>600</v>
      </c>
      <c r="X251">
        <v>2023</v>
      </c>
    </row>
    <row r="252" spans="1:24" x14ac:dyDescent="0.35">
      <c r="A252">
        <v>251</v>
      </c>
      <c r="B252" s="1">
        <v>45169</v>
      </c>
      <c r="C252" s="2" t="s">
        <v>37</v>
      </c>
      <c r="D252" s="2" t="s">
        <v>279</v>
      </c>
      <c r="E252" s="2" t="s">
        <v>18</v>
      </c>
      <c r="F252">
        <v>57</v>
      </c>
      <c r="G252" s="2" t="s">
        <v>15</v>
      </c>
      <c r="H252">
        <v>4</v>
      </c>
      <c r="I252">
        <v>50</v>
      </c>
      <c r="J252">
        <v>200</v>
      </c>
      <c r="K252">
        <v>200</v>
      </c>
      <c r="L252">
        <v>2023</v>
      </c>
      <c r="M252">
        <v>132</v>
      </c>
      <c r="N252">
        <v>45179</v>
      </c>
      <c r="O252" t="str">
        <v>September</v>
      </c>
      <c r="P252" t="str">
        <v>CUST132</v>
      </c>
      <c r="Q252" t="str">
        <v>Male</v>
      </c>
      <c r="R252">
        <v>42</v>
      </c>
      <c r="S252" t="str">
        <v>Electronics</v>
      </c>
      <c r="T252">
        <v>4</v>
      </c>
      <c r="U252">
        <v>50</v>
      </c>
      <c r="V252">
        <v>200</v>
      </c>
      <c r="W252">
        <v>200</v>
      </c>
      <c r="X252">
        <v>2023</v>
      </c>
    </row>
    <row r="253" spans="1:24" x14ac:dyDescent="0.35">
      <c r="A253">
        <v>252</v>
      </c>
      <c r="B253" s="1">
        <v>45051</v>
      </c>
      <c r="C253" s="2" t="s">
        <v>23</v>
      </c>
      <c r="D253" s="2" t="s">
        <v>280</v>
      </c>
      <c r="E253" s="2" t="s">
        <v>14</v>
      </c>
      <c r="F253">
        <v>54</v>
      </c>
      <c r="G253" s="2" t="s">
        <v>22</v>
      </c>
      <c r="H253">
        <v>1</v>
      </c>
      <c r="I253">
        <v>300</v>
      </c>
      <c r="J253">
        <v>300</v>
      </c>
      <c r="K253">
        <v>300</v>
      </c>
      <c r="L253">
        <v>2023</v>
      </c>
      <c r="M253">
        <v>133</v>
      </c>
      <c r="N253">
        <v>44973</v>
      </c>
      <c r="O253" t="str">
        <v>February</v>
      </c>
      <c r="P253" t="str">
        <v>CUST133</v>
      </c>
      <c r="Q253" t="str">
        <v>Male</v>
      </c>
      <c r="R253">
        <v>20</v>
      </c>
      <c r="S253" t="str">
        <v>Electronics</v>
      </c>
      <c r="T253">
        <v>3</v>
      </c>
      <c r="U253">
        <v>300</v>
      </c>
      <c r="V253">
        <v>900</v>
      </c>
      <c r="W253">
        <v>900</v>
      </c>
      <c r="X253">
        <v>2023</v>
      </c>
    </row>
    <row r="254" spans="1:24" x14ac:dyDescent="0.35">
      <c r="A254">
        <v>253</v>
      </c>
      <c r="B254" s="1">
        <v>45169</v>
      </c>
      <c r="C254" s="2" t="s">
        <v>37</v>
      </c>
      <c r="D254" s="2" t="s">
        <v>281</v>
      </c>
      <c r="E254" s="2" t="s">
        <v>18</v>
      </c>
      <c r="F254">
        <v>53</v>
      </c>
      <c r="G254" s="2" t="s">
        <v>19</v>
      </c>
      <c r="H254">
        <v>4</v>
      </c>
      <c r="I254">
        <v>500</v>
      </c>
      <c r="J254">
        <v>2000</v>
      </c>
      <c r="K254">
        <v>2000</v>
      </c>
      <c r="L254">
        <v>2023</v>
      </c>
      <c r="M254">
        <v>134</v>
      </c>
      <c r="N254">
        <v>44951</v>
      </c>
      <c r="O254" t="str">
        <v>January</v>
      </c>
      <c r="P254" t="str">
        <v>CUST134</v>
      </c>
      <c r="Q254" t="str">
        <v>Male</v>
      </c>
      <c r="R254">
        <v>49</v>
      </c>
      <c r="S254" t="str">
        <v>Electronics</v>
      </c>
      <c r="T254">
        <v>1</v>
      </c>
      <c r="U254">
        <v>50</v>
      </c>
      <c r="V254">
        <v>50</v>
      </c>
      <c r="W254">
        <v>50</v>
      </c>
      <c r="X254">
        <v>2023</v>
      </c>
    </row>
    <row r="255" spans="1:24" x14ac:dyDescent="0.35">
      <c r="A255">
        <v>254</v>
      </c>
      <c r="B255" s="1">
        <v>45135</v>
      </c>
      <c r="C255" s="2" t="s">
        <v>70</v>
      </c>
      <c r="D255" s="2" t="s">
        <v>282</v>
      </c>
      <c r="E255" s="2" t="s">
        <v>14</v>
      </c>
      <c r="F255">
        <v>41</v>
      </c>
      <c r="G255" s="2" t="s">
        <v>22</v>
      </c>
      <c r="H255">
        <v>1</v>
      </c>
      <c r="I255">
        <v>500</v>
      </c>
      <c r="J255">
        <v>500</v>
      </c>
      <c r="K255">
        <v>500</v>
      </c>
      <c r="L255">
        <v>2023</v>
      </c>
      <c r="M255">
        <v>135</v>
      </c>
      <c r="N255">
        <v>44983</v>
      </c>
      <c r="O255" t="str">
        <v>February</v>
      </c>
      <c r="P255" t="str">
        <v>CUST135</v>
      </c>
      <c r="Q255" t="str">
        <v>Male</v>
      </c>
      <c r="R255">
        <v>20</v>
      </c>
      <c r="S255" t="str">
        <v>Clothing</v>
      </c>
      <c r="T255">
        <v>2</v>
      </c>
      <c r="U255">
        <v>25</v>
      </c>
      <c r="V255">
        <v>50</v>
      </c>
      <c r="W255">
        <v>50</v>
      </c>
      <c r="X255">
        <v>2023</v>
      </c>
    </row>
    <row r="256" spans="1:24" x14ac:dyDescent="0.35">
      <c r="A256">
        <v>255</v>
      </c>
      <c r="B256" s="1">
        <v>45024</v>
      </c>
      <c r="C256" s="2" t="s">
        <v>26</v>
      </c>
      <c r="D256" s="2" t="s">
        <v>283</v>
      </c>
      <c r="E256" s="2" t="s">
        <v>14</v>
      </c>
      <c r="F256">
        <v>48</v>
      </c>
      <c r="G256" s="2" t="s">
        <v>19</v>
      </c>
      <c r="H256">
        <v>1</v>
      </c>
      <c r="I256">
        <v>30</v>
      </c>
      <c r="J256">
        <v>30</v>
      </c>
      <c r="K256">
        <v>30</v>
      </c>
      <c r="L256">
        <v>2023</v>
      </c>
      <c r="M256">
        <v>136</v>
      </c>
      <c r="N256">
        <v>45005</v>
      </c>
      <c r="O256" t="str">
        <v>March</v>
      </c>
      <c r="P256" t="str">
        <v>CUST136</v>
      </c>
      <c r="Q256" t="str">
        <v>Male</v>
      </c>
      <c r="R256">
        <v>44</v>
      </c>
      <c r="S256" t="str">
        <v>Electronics</v>
      </c>
      <c r="T256">
        <v>2</v>
      </c>
      <c r="U256">
        <v>300</v>
      </c>
      <c r="V256">
        <v>600</v>
      </c>
      <c r="W256">
        <v>600</v>
      </c>
      <c r="X256">
        <v>2023</v>
      </c>
    </row>
    <row r="257" spans="1:24" x14ac:dyDescent="0.35">
      <c r="A257">
        <v>256</v>
      </c>
      <c r="B257" s="1">
        <v>44975</v>
      </c>
      <c r="C257" s="2" t="s">
        <v>16</v>
      </c>
      <c r="D257" s="2" t="s">
        <v>284</v>
      </c>
      <c r="E257" s="2" t="s">
        <v>14</v>
      </c>
      <c r="F257">
        <v>23</v>
      </c>
      <c r="G257" s="2" t="s">
        <v>19</v>
      </c>
      <c r="H257">
        <v>2</v>
      </c>
      <c r="I257">
        <v>500</v>
      </c>
      <c r="J257">
        <v>1000</v>
      </c>
      <c r="K257">
        <v>1000</v>
      </c>
      <c r="L257">
        <v>2023</v>
      </c>
      <c r="M257">
        <v>137</v>
      </c>
      <c r="N257">
        <v>45248</v>
      </c>
      <c r="O257" t="str">
        <v>November</v>
      </c>
      <c r="P257" t="str">
        <v>CUST137</v>
      </c>
      <c r="Q257" t="str">
        <v>Male</v>
      </c>
      <c r="R257">
        <v>46</v>
      </c>
      <c r="S257" t="str">
        <v>Beauty</v>
      </c>
      <c r="T257">
        <v>2</v>
      </c>
      <c r="U257">
        <v>500</v>
      </c>
      <c r="V257">
        <v>1000</v>
      </c>
      <c r="W257">
        <v>1000</v>
      </c>
      <c r="X257">
        <v>2023</v>
      </c>
    </row>
    <row r="258" spans="1:24" x14ac:dyDescent="0.35">
      <c r="A258">
        <v>257</v>
      </c>
      <c r="B258" s="1">
        <v>44976</v>
      </c>
      <c r="C258" s="2" t="s">
        <v>16</v>
      </c>
      <c r="D258" s="2" t="s">
        <v>285</v>
      </c>
      <c r="E258" s="2" t="s">
        <v>14</v>
      </c>
      <c r="F258">
        <v>19</v>
      </c>
      <c r="G258" s="2" t="s">
        <v>15</v>
      </c>
      <c r="H258">
        <v>4</v>
      </c>
      <c r="I258">
        <v>500</v>
      </c>
      <c r="J258">
        <v>2000</v>
      </c>
      <c r="K258">
        <v>2000</v>
      </c>
      <c r="L258">
        <v>2023</v>
      </c>
      <c r="M258">
        <v>138</v>
      </c>
      <c r="N258">
        <v>45008</v>
      </c>
      <c r="O258" t="str">
        <v>March</v>
      </c>
      <c r="P258" t="str">
        <v>CUST138</v>
      </c>
      <c r="Q258" t="str">
        <v>Male</v>
      </c>
      <c r="R258">
        <v>49</v>
      </c>
      <c r="S258" t="str">
        <v>Clothing</v>
      </c>
      <c r="T258">
        <v>4</v>
      </c>
      <c r="U258">
        <v>50</v>
      </c>
      <c r="V258">
        <v>200</v>
      </c>
      <c r="W258">
        <v>200</v>
      </c>
      <c r="X258">
        <v>2023</v>
      </c>
    </row>
    <row r="259" spans="1:24" x14ac:dyDescent="0.35">
      <c r="A259">
        <v>258</v>
      </c>
      <c r="B259" s="1">
        <v>45264</v>
      </c>
      <c r="C259" s="2" t="s">
        <v>31</v>
      </c>
      <c r="D259" s="2" t="s">
        <v>286</v>
      </c>
      <c r="E259" s="2" t="s">
        <v>18</v>
      </c>
      <c r="F259">
        <v>37</v>
      </c>
      <c r="G259" s="2" t="s">
        <v>19</v>
      </c>
      <c r="H259">
        <v>1</v>
      </c>
      <c r="I259">
        <v>50</v>
      </c>
      <c r="J259">
        <v>50</v>
      </c>
      <c r="K259">
        <v>50</v>
      </c>
      <c r="L259">
        <v>2023</v>
      </c>
      <c r="M259">
        <v>139</v>
      </c>
      <c r="N259">
        <v>45275</v>
      </c>
      <c r="O259" t="str">
        <v>December</v>
      </c>
      <c r="P259" t="str">
        <v>CUST139</v>
      </c>
      <c r="Q259" t="str">
        <v>Male</v>
      </c>
      <c r="R259">
        <v>36</v>
      </c>
      <c r="S259" t="str">
        <v>Beauty</v>
      </c>
      <c r="T259">
        <v>4</v>
      </c>
      <c r="U259">
        <v>500</v>
      </c>
      <c r="V259">
        <v>2000</v>
      </c>
      <c r="W259">
        <v>2000</v>
      </c>
      <c r="X259">
        <v>2023</v>
      </c>
    </row>
    <row r="260" spans="1:24" x14ac:dyDescent="0.35">
      <c r="A260">
        <v>259</v>
      </c>
      <c r="B260" s="1">
        <v>45147</v>
      </c>
      <c r="C260" s="2" t="s">
        <v>37</v>
      </c>
      <c r="D260" s="2" t="s">
        <v>287</v>
      </c>
      <c r="E260" s="2" t="s">
        <v>18</v>
      </c>
      <c r="F260">
        <v>45</v>
      </c>
      <c r="G260" s="2" t="s">
        <v>19</v>
      </c>
      <c r="H260">
        <v>4</v>
      </c>
      <c r="I260">
        <v>50</v>
      </c>
      <c r="J260">
        <v>200</v>
      </c>
      <c r="K260">
        <v>200</v>
      </c>
      <c r="L260">
        <v>2023</v>
      </c>
      <c r="M260">
        <v>140</v>
      </c>
      <c r="N260">
        <v>45143</v>
      </c>
      <c r="O260" t="str">
        <v>August</v>
      </c>
      <c r="P260" t="str">
        <v>CUST140</v>
      </c>
      <c r="Q260" t="str">
        <v>Male</v>
      </c>
      <c r="R260">
        <v>38</v>
      </c>
      <c r="S260" t="str">
        <v>Electronics</v>
      </c>
      <c r="T260">
        <v>1</v>
      </c>
      <c r="U260">
        <v>30</v>
      </c>
      <c r="V260">
        <v>30</v>
      </c>
      <c r="W260">
        <v>30</v>
      </c>
      <c r="X260">
        <v>2023</v>
      </c>
    </row>
    <row r="261" spans="1:24" x14ac:dyDescent="0.35">
      <c r="A261">
        <v>260</v>
      </c>
      <c r="B261" s="1">
        <v>45108</v>
      </c>
      <c r="C261" s="2" t="s">
        <v>70</v>
      </c>
      <c r="D261" s="2" t="s">
        <v>288</v>
      </c>
      <c r="E261" s="2" t="s">
        <v>14</v>
      </c>
      <c r="F261">
        <v>28</v>
      </c>
      <c r="G261" s="2" t="s">
        <v>15</v>
      </c>
      <c r="H261">
        <v>2</v>
      </c>
      <c r="I261">
        <v>30</v>
      </c>
      <c r="J261">
        <v>60</v>
      </c>
      <c r="K261">
        <v>60</v>
      </c>
      <c r="L261">
        <v>2023</v>
      </c>
      <c r="M261">
        <v>141</v>
      </c>
      <c r="N261">
        <v>45232</v>
      </c>
      <c r="O261" t="str">
        <v>November</v>
      </c>
      <c r="P261" t="str">
        <v>CUST141</v>
      </c>
      <c r="Q261" t="str">
        <v>Female</v>
      </c>
      <c r="R261">
        <v>22</v>
      </c>
      <c r="S261" t="str">
        <v>Electronics</v>
      </c>
      <c r="T261">
        <v>1</v>
      </c>
      <c r="U261">
        <v>50</v>
      </c>
      <c r="V261">
        <v>50</v>
      </c>
      <c r="W261">
        <v>50</v>
      </c>
      <c r="X261">
        <v>2023</v>
      </c>
    </row>
    <row r="262" spans="1:24" x14ac:dyDescent="0.35">
      <c r="A262">
        <v>261</v>
      </c>
      <c r="B262" s="1">
        <v>45143</v>
      </c>
      <c r="C262" s="2" t="s">
        <v>37</v>
      </c>
      <c r="D262" s="2" t="s">
        <v>289</v>
      </c>
      <c r="E262" s="2" t="s">
        <v>14</v>
      </c>
      <c r="F262">
        <v>21</v>
      </c>
      <c r="G262" s="2" t="s">
        <v>19</v>
      </c>
      <c r="H262">
        <v>2</v>
      </c>
      <c r="I262">
        <v>25</v>
      </c>
      <c r="J262">
        <v>50</v>
      </c>
      <c r="K262">
        <v>50</v>
      </c>
      <c r="L262">
        <v>2023</v>
      </c>
      <c r="M262">
        <v>142</v>
      </c>
      <c r="N262">
        <v>44959</v>
      </c>
      <c r="O262" t="str">
        <v>February</v>
      </c>
      <c r="P262" t="str">
        <v>CUST142</v>
      </c>
      <c r="Q262" t="str">
        <v>Male</v>
      </c>
      <c r="R262">
        <v>35</v>
      </c>
      <c r="S262" t="str">
        <v>Electronics</v>
      </c>
      <c r="T262">
        <v>4</v>
      </c>
      <c r="U262">
        <v>300</v>
      </c>
      <c r="V262">
        <v>1200</v>
      </c>
      <c r="W262">
        <v>1200</v>
      </c>
      <c r="X262">
        <v>2023</v>
      </c>
    </row>
    <row r="263" spans="1:24" x14ac:dyDescent="0.35">
      <c r="A263">
        <v>262</v>
      </c>
      <c r="B263" s="1">
        <v>45137</v>
      </c>
      <c r="C263" s="2" t="s">
        <v>70</v>
      </c>
      <c r="D263" s="2" t="s">
        <v>290</v>
      </c>
      <c r="E263" s="2" t="s">
        <v>18</v>
      </c>
      <c r="F263">
        <v>32</v>
      </c>
      <c r="G263" s="2" t="s">
        <v>15</v>
      </c>
      <c r="H263">
        <v>4</v>
      </c>
      <c r="I263">
        <v>30</v>
      </c>
      <c r="J263">
        <v>120</v>
      </c>
      <c r="K263">
        <v>120</v>
      </c>
      <c r="L263">
        <v>2023</v>
      </c>
      <c r="M263">
        <v>143</v>
      </c>
      <c r="N263">
        <v>45124</v>
      </c>
      <c r="O263" t="str">
        <v>July</v>
      </c>
      <c r="P263" t="str">
        <v>CUST143</v>
      </c>
      <c r="Q263" t="str">
        <v>Female</v>
      </c>
      <c r="R263">
        <v>45</v>
      </c>
      <c r="S263" t="str">
        <v>Clothing</v>
      </c>
      <c r="T263">
        <v>1</v>
      </c>
      <c r="U263">
        <v>50</v>
      </c>
      <c r="V263">
        <v>50</v>
      </c>
      <c r="W263">
        <v>50</v>
      </c>
      <c r="X263">
        <v>2023</v>
      </c>
    </row>
    <row r="264" spans="1:24" x14ac:dyDescent="0.35">
      <c r="A264">
        <v>263</v>
      </c>
      <c r="B264" s="1">
        <v>45166</v>
      </c>
      <c r="C264" s="2" t="s">
        <v>37</v>
      </c>
      <c r="D264" s="2" t="s">
        <v>291</v>
      </c>
      <c r="E264" s="2" t="s">
        <v>14</v>
      </c>
      <c r="F264">
        <v>23</v>
      </c>
      <c r="G264" s="2" t="s">
        <v>15</v>
      </c>
      <c r="H264">
        <v>2</v>
      </c>
      <c r="I264">
        <v>30</v>
      </c>
      <c r="J264">
        <v>60</v>
      </c>
      <c r="K264">
        <v>60</v>
      </c>
      <c r="L264">
        <v>2023</v>
      </c>
      <c r="M264">
        <v>144</v>
      </c>
      <c r="N264">
        <v>45122</v>
      </c>
      <c r="O264" t="str">
        <v>July</v>
      </c>
      <c r="P264" t="str">
        <v>CUST144</v>
      </c>
      <c r="Q264" t="str">
        <v>Female</v>
      </c>
      <c r="R264">
        <v>59</v>
      </c>
      <c r="S264" t="str">
        <v>Beauty</v>
      </c>
      <c r="T264">
        <v>3</v>
      </c>
      <c r="U264">
        <v>500</v>
      </c>
      <c r="V264">
        <v>1500</v>
      </c>
      <c r="W264">
        <v>1500</v>
      </c>
      <c r="X264">
        <v>2023</v>
      </c>
    </row>
    <row r="265" spans="1:24" x14ac:dyDescent="0.35">
      <c r="A265">
        <v>264</v>
      </c>
      <c r="B265" s="1">
        <v>44954</v>
      </c>
      <c r="C265" s="2" t="s">
        <v>20</v>
      </c>
      <c r="D265" s="2" t="s">
        <v>292</v>
      </c>
      <c r="E265" s="2" t="s">
        <v>14</v>
      </c>
      <c r="F265">
        <v>47</v>
      </c>
      <c r="G265" s="2" t="s">
        <v>19</v>
      </c>
      <c r="H265">
        <v>3</v>
      </c>
      <c r="I265">
        <v>300</v>
      </c>
      <c r="J265">
        <v>900</v>
      </c>
      <c r="K265">
        <v>900</v>
      </c>
      <c r="L265">
        <v>2023</v>
      </c>
      <c r="M265">
        <v>145</v>
      </c>
      <c r="N265">
        <v>45232</v>
      </c>
      <c r="O265" t="str">
        <v>November</v>
      </c>
      <c r="P265" t="str">
        <v>CUST145</v>
      </c>
      <c r="Q265" t="str">
        <v>Female</v>
      </c>
      <c r="R265">
        <v>39</v>
      </c>
      <c r="S265" t="str">
        <v>Clothing</v>
      </c>
      <c r="T265">
        <v>3</v>
      </c>
      <c r="U265">
        <v>25</v>
      </c>
      <c r="V265">
        <v>75</v>
      </c>
      <c r="W265">
        <v>75</v>
      </c>
      <c r="X265">
        <v>2023</v>
      </c>
    </row>
    <row r="266" spans="1:24" x14ac:dyDescent="0.35">
      <c r="A266">
        <v>265</v>
      </c>
      <c r="B266" s="1">
        <v>45271</v>
      </c>
      <c r="C266" s="2" t="s">
        <v>31</v>
      </c>
      <c r="D266" s="2" t="s">
        <v>293</v>
      </c>
      <c r="E266" s="2" t="s">
        <v>14</v>
      </c>
      <c r="F266">
        <v>55</v>
      </c>
      <c r="G266" s="2" t="s">
        <v>19</v>
      </c>
      <c r="H266">
        <v>3</v>
      </c>
      <c r="I266">
        <v>300</v>
      </c>
      <c r="J266">
        <v>900</v>
      </c>
      <c r="K266">
        <v>900</v>
      </c>
      <c r="L266">
        <v>2023</v>
      </c>
      <c r="M266">
        <v>146</v>
      </c>
      <c r="N266">
        <v>45166</v>
      </c>
      <c r="O266" t="str">
        <v>August</v>
      </c>
      <c r="P266" t="str">
        <v>CUST146</v>
      </c>
      <c r="Q266" t="str">
        <v>Male</v>
      </c>
      <c r="R266">
        <v>38</v>
      </c>
      <c r="S266" t="str">
        <v>Clothing</v>
      </c>
      <c r="T266">
        <v>4</v>
      </c>
      <c r="U266">
        <v>50</v>
      </c>
      <c r="V266">
        <v>200</v>
      </c>
      <c r="W266">
        <v>200</v>
      </c>
      <c r="X266">
        <v>2023</v>
      </c>
    </row>
    <row r="267" spans="1:24" x14ac:dyDescent="0.35">
      <c r="A267">
        <v>266</v>
      </c>
      <c r="B267" s="1">
        <v>45261</v>
      </c>
      <c r="C267" s="2" t="s">
        <v>31</v>
      </c>
      <c r="D267" s="2" t="s">
        <v>294</v>
      </c>
      <c r="E267" s="2" t="s">
        <v>18</v>
      </c>
      <c r="F267">
        <v>19</v>
      </c>
      <c r="G267" s="2" t="s">
        <v>22</v>
      </c>
      <c r="H267">
        <v>2</v>
      </c>
      <c r="I267">
        <v>30</v>
      </c>
      <c r="J267">
        <v>60</v>
      </c>
      <c r="K267">
        <v>60</v>
      </c>
      <c r="L267">
        <v>2023</v>
      </c>
      <c r="M267">
        <v>147</v>
      </c>
      <c r="N267">
        <v>45197</v>
      </c>
      <c r="O267" t="str">
        <v>September</v>
      </c>
      <c r="P267" t="str">
        <v>CUST147</v>
      </c>
      <c r="Q267" t="str">
        <v>Male</v>
      </c>
      <c r="R267">
        <v>23</v>
      </c>
      <c r="S267" t="str">
        <v>Electronics</v>
      </c>
      <c r="T267">
        <v>1</v>
      </c>
      <c r="U267">
        <v>300</v>
      </c>
      <c r="V267">
        <v>300</v>
      </c>
      <c r="W267">
        <v>300</v>
      </c>
      <c r="X267">
        <v>2023</v>
      </c>
    </row>
    <row r="268" spans="1:24" x14ac:dyDescent="0.35">
      <c r="A268">
        <v>267</v>
      </c>
      <c r="B268" s="1">
        <v>45257</v>
      </c>
      <c r="C268" s="2" t="s">
        <v>12</v>
      </c>
      <c r="D268" s="2" t="s">
        <v>295</v>
      </c>
      <c r="E268" s="2" t="s">
        <v>18</v>
      </c>
      <c r="F268">
        <v>32</v>
      </c>
      <c r="G268" s="2" t="s">
        <v>15</v>
      </c>
      <c r="H268">
        <v>3</v>
      </c>
      <c r="I268">
        <v>30</v>
      </c>
      <c r="J268">
        <v>90</v>
      </c>
      <c r="K268">
        <v>90</v>
      </c>
      <c r="L268">
        <v>2023</v>
      </c>
      <c r="M268">
        <v>148</v>
      </c>
      <c r="N268">
        <v>45055</v>
      </c>
      <c r="O268" t="str">
        <v>May</v>
      </c>
      <c r="P268" t="str">
        <v>CUST148</v>
      </c>
      <c r="Q268" t="str">
        <v>Male</v>
      </c>
      <c r="R268">
        <v>18</v>
      </c>
      <c r="S268" t="str">
        <v>Clothing</v>
      </c>
      <c r="T268">
        <v>2</v>
      </c>
      <c r="U268">
        <v>30</v>
      </c>
      <c r="V268">
        <v>60</v>
      </c>
      <c r="W268">
        <v>60</v>
      </c>
      <c r="X268">
        <v>2023</v>
      </c>
    </row>
    <row r="269" spans="1:24" x14ac:dyDescent="0.35">
      <c r="A269">
        <v>268</v>
      </c>
      <c r="B269" s="1">
        <v>44977</v>
      </c>
      <c r="C269" s="2" t="s">
        <v>16</v>
      </c>
      <c r="D269" s="2" t="s">
        <v>296</v>
      </c>
      <c r="E269" s="2" t="s">
        <v>18</v>
      </c>
      <c r="F269">
        <v>28</v>
      </c>
      <c r="G269" s="2" t="s">
        <v>22</v>
      </c>
      <c r="H269">
        <v>1</v>
      </c>
      <c r="I269">
        <v>30</v>
      </c>
      <c r="J269">
        <v>30</v>
      </c>
      <c r="K269">
        <v>30</v>
      </c>
      <c r="L269">
        <v>2023</v>
      </c>
      <c r="M269">
        <v>149</v>
      </c>
      <c r="N269">
        <v>45210</v>
      </c>
      <c r="O269" t="str">
        <v>October</v>
      </c>
      <c r="P269" t="str">
        <v>CUST149</v>
      </c>
      <c r="Q269" t="str">
        <v>Male</v>
      </c>
      <c r="R269">
        <v>22</v>
      </c>
      <c r="S269" t="str">
        <v>Clothing</v>
      </c>
      <c r="T269">
        <v>3</v>
      </c>
      <c r="U269">
        <v>25</v>
      </c>
      <c r="V269">
        <v>75</v>
      </c>
      <c r="W269">
        <v>75</v>
      </c>
      <c r="X269">
        <v>2023</v>
      </c>
    </row>
    <row r="270" spans="1:24" x14ac:dyDescent="0.35">
      <c r="A270">
        <v>269</v>
      </c>
      <c r="B270" s="1">
        <v>44958</v>
      </c>
      <c r="C270" s="2" t="s">
        <v>16</v>
      </c>
      <c r="D270" s="2" t="s">
        <v>297</v>
      </c>
      <c r="E270" s="2" t="s">
        <v>14</v>
      </c>
      <c r="F270">
        <v>25</v>
      </c>
      <c r="G270" s="2" t="s">
        <v>19</v>
      </c>
      <c r="H270">
        <v>4</v>
      </c>
      <c r="I270">
        <v>500</v>
      </c>
      <c r="J270">
        <v>2000</v>
      </c>
      <c r="K270">
        <v>2000</v>
      </c>
      <c r="L270">
        <v>2023</v>
      </c>
      <c r="M270">
        <v>150</v>
      </c>
      <c r="N270">
        <v>44932</v>
      </c>
      <c r="O270" t="str">
        <v>January</v>
      </c>
      <c r="P270" t="str">
        <v>CUST150</v>
      </c>
      <c r="Q270" t="str">
        <v>Female</v>
      </c>
      <c r="R270">
        <v>58</v>
      </c>
      <c r="S270" t="str">
        <v>Electronics</v>
      </c>
      <c r="T270">
        <v>4</v>
      </c>
      <c r="U270">
        <v>30</v>
      </c>
      <c r="V270">
        <v>120</v>
      </c>
      <c r="W270">
        <v>120</v>
      </c>
      <c r="X270">
        <v>2023</v>
      </c>
    </row>
    <row r="271" spans="1:24" x14ac:dyDescent="0.35">
      <c r="A271">
        <v>270</v>
      </c>
      <c r="B271" s="1">
        <v>45133</v>
      </c>
      <c r="C271" s="2" t="s">
        <v>70</v>
      </c>
      <c r="D271" s="2" t="s">
        <v>298</v>
      </c>
      <c r="E271" s="2" t="s">
        <v>14</v>
      </c>
      <c r="F271">
        <v>43</v>
      </c>
      <c r="G271" s="2" t="s">
        <v>22</v>
      </c>
      <c r="H271">
        <v>1</v>
      </c>
      <c r="I271">
        <v>300</v>
      </c>
      <c r="J271">
        <v>300</v>
      </c>
      <c r="K271">
        <v>300</v>
      </c>
      <c r="L271">
        <v>2023</v>
      </c>
      <c r="M271">
        <v>151</v>
      </c>
      <c r="N271">
        <v>45275</v>
      </c>
      <c r="O271" t="str">
        <v>December</v>
      </c>
      <c r="P271" t="str">
        <v>CUST151</v>
      </c>
      <c r="Q271" t="str">
        <v>Male</v>
      </c>
      <c r="R271">
        <v>29</v>
      </c>
      <c r="S271" t="str">
        <v>Clothing</v>
      </c>
      <c r="T271">
        <v>1</v>
      </c>
      <c r="U271">
        <v>50</v>
      </c>
      <c r="V271">
        <v>50</v>
      </c>
      <c r="W271">
        <v>50</v>
      </c>
      <c r="X271">
        <v>2023</v>
      </c>
    </row>
    <row r="272" spans="1:24" x14ac:dyDescent="0.35">
      <c r="A272">
        <v>271</v>
      </c>
      <c r="B272" s="1">
        <v>45100</v>
      </c>
      <c r="C272" s="2" t="s">
        <v>62</v>
      </c>
      <c r="D272" s="2" t="s">
        <v>299</v>
      </c>
      <c r="E272" s="2" t="s">
        <v>18</v>
      </c>
      <c r="F272">
        <v>62</v>
      </c>
      <c r="G272" s="2" t="s">
        <v>15</v>
      </c>
      <c r="H272">
        <v>4</v>
      </c>
      <c r="I272">
        <v>30</v>
      </c>
      <c r="J272">
        <v>120</v>
      </c>
      <c r="K272">
        <v>120</v>
      </c>
      <c r="L272">
        <v>2023</v>
      </c>
      <c r="M272">
        <v>152</v>
      </c>
      <c r="N272">
        <v>44985</v>
      </c>
      <c r="O272" t="str">
        <v>February</v>
      </c>
      <c r="P272" t="str">
        <v>CUST152</v>
      </c>
      <c r="Q272" t="str">
        <v>Male</v>
      </c>
      <c r="R272">
        <v>43</v>
      </c>
      <c r="S272" t="str">
        <v>Electronics</v>
      </c>
      <c r="T272">
        <v>4</v>
      </c>
      <c r="U272">
        <v>500</v>
      </c>
      <c r="V272">
        <v>2000</v>
      </c>
      <c r="W272">
        <v>2000</v>
      </c>
      <c r="X272">
        <v>2023</v>
      </c>
    </row>
    <row r="273" spans="1:24" x14ac:dyDescent="0.35">
      <c r="A273">
        <v>272</v>
      </c>
      <c r="B273" s="1">
        <v>44982</v>
      </c>
      <c r="C273" s="2" t="s">
        <v>16</v>
      </c>
      <c r="D273" s="2" t="s">
        <v>300</v>
      </c>
      <c r="E273" s="2" t="s">
        <v>18</v>
      </c>
      <c r="F273">
        <v>61</v>
      </c>
      <c r="G273" s="2" t="s">
        <v>22</v>
      </c>
      <c r="H273">
        <v>2</v>
      </c>
      <c r="I273">
        <v>50</v>
      </c>
      <c r="J273">
        <v>100</v>
      </c>
      <c r="K273">
        <v>100</v>
      </c>
      <c r="L273">
        <v>2023</v>
      </c>
      <c r="M273">
        <v>153</v>
      </c>
      <c r="N273">
        <v>45276</v>
      </c>
      <c r="O273" t="str">
        <v>December</v>
      </c>
      <c r="P273" t="str">
        <v>CUST153</v>
      </c>
      <c r="Q273" t="str">
        <v>Male</v>
      </c>
      <c r="R273">
        <v>63</v>
      </c>
      <c r="S273" t="str">
        <v>Electronics</v>
      </c>
      <c r="T273">
        <v>2</v>
      </c>
      <c r="U273">
        <v>500</v>
      </c>
      <c r="V273">
        <v>1000</v>
      </c>
      <c r="W273">
        <v>1000</v>
      </c>
      <c r="X273">
        <v>2023</v>
      </c>
    </row>
    <row r="274" spans="1:24" x14ac:dyDescent="0.35">
      <c r="A274">
        <v>273</v>
      </c>
      <c r="B274" s="1">
        <v>45054</v>
      </c>
      <c r="C274" s="2" t="s">
        <v>23</v>
      </c>
      <c r="D274" s="2" t="s">
        <v>301</v>
      </c>
      <c r="E274" s="2" t="s">
        <v>18</v>
      </c>
      <c r="F274">
        <v>22</v>
      </c>
      <c r="G274" s="2" t="s">
        <v>15</v>
      </c>
      <c r="H274">
        <v>1</v>
      </c>
      <c r="I274">
        <v>50</v>
      </c>
      <c r="J274">
        <v>50</v>
      </c>
      <c r="K274">
        <v>50</v>
      </c>
      <c r="L274">
        <v>2023</v>
      </c>
      <c r="M274">
        <v>154</v>
      </c>
      <c r="N274">
        <v>45201</v>
      </c>
      <c r="O274" t="str">
        <v>October</v>
      </c>
      <c r="P274" t="str">
        <v>CUST154</v>
      </c>
      <c r="Q274" t="str">
        <v>Male</v>
      </c>
      <c r="R274">
        <v>51</v>
      </c>
      <c r="S274" t="str">
        <v>Electronics</v>
      </c>
      <c r="T274">
        <v>3</v>
      </c>
      <c r="U274">
        <v>300</v>
      </c>
      <c r="V274">
        <v>900</v>
      </c>
      <c r="W274">
        <v>900</v>
      </c>
      <c r="X274">
        <v>2023</v>
      </c>
    </row>
    <row r="275" spans="1:24" x14ac:dyDescent="0.35">
      <c r="A275">
        <v>274</v>
      </c>
      <c r="B275" s="1">
        <v>45025</v>
      </c>
      <c r="C275" s="2" t="s">
        <v>26</v>
      </c>
      <c r="D275" s="2" t="s">
        <v>302</v>
      </c>
      <c r="E275" s="2" t="s">
        <v>18</v>
      </c>
      <c r="F275">
        <v>23</v>
      </c>
      <c r="G275" s="2" t="s">
        <v>19</v>
      </c>
      <c r="H275">
        <v>2</v>
      </c>
      <c r="I275">
        <v>500</v>
      </c>
      <c r="J275">
        <v>1000</v>
      </c>
      <c r="K275">
        <v>1000</v>
      </c>
      <c r="L275">
        <v>2023</v>
      </c>
      <c r="M275">
        <v>155</v>
      </c>
      <c r="N275">
        <v>45063</v>
      </c>
      <c r="O275" t="str">
        <v>May</v>
      </c>
      <c r="P275" t="str">
        <v>CUST155</v>
      </c>
      <c r="Q275" t="str">
        <v>Male</v>
      </c>
      <c r="R275">
        <v>31</v>
      </c>
      <c r="S275" t="str">
        <v>Electronics</v>
      </c>
      <c r="T275">
        <v>4</v>
      </c>
      <c r="U275">
        <v>500</v>
      </c>
      <c r="V275">
        <v>2000</v>
      </c>
      <c r="W275">
        <v>2000</v>
      </c>
      <c r="X275">
        <v>2023</v>
      </c>
    </row>
    <row r="276" spans="1:24" x14ac:dyDescent="0.35">
      <c r="A276">
        <v>275</v>
      </c>
      <c r="B276" s="1">
        <v>45024</v>
      </c>
      <c r="C276" s="2" t="s">
        <v>26</v>
      </c>
      <c r="D276" s="2" t="s">
        <v>303</v>
      </c>
      <c r="E276" s="2" t="s">
        <v>14</v>
      </c>
      <c r="F276">
        <v>43</v>
      </c>
      <c r="G276" s="2" t="s">
        <v>19</v>
      </c>
      <c r="H276">
        <v>2</v>
      </c>
      <c r="I276">
        <v>500</v>
      </c>
      <c r="J276">
        <v>1000</v>
      </c>
      <c r="K276">
        <v>1000</v>
      </c>
      <c r="L276">
        <v>2023</v>
      </c>
      <c r="M276">
        <v>156</v>
      </c>
      <c r="N276">
        <v>45255</v>
      </c>
      <c r="O276" t="str">
        <v>November</v>
      </c>
      <c r="P276" t="str">
        <v>CUST156</v>
      </c>
      <c r="Q276" t="str">
        <v>Female</v>
      </c>
      <c r="R276">
        <v>43</v>
      </c>
      <c r="S276" t="str">
        <v>Clothing</v>
      </c>
      <c r="T276">
        <v>4</v>
      </c>
      <c r="U276">
        <v>25</v>
      </c>
      <c r="V276">
        <v>100</v>
      </c>
      <c r="W276">
        <v>100</v>
      </c>
      <c r="X276">
        <v>2023</v>
      </c>
    </row>
    <row r="277" spans="1:24" x14ac:dyDescent="0.35">
      <c r="A277">
        <v>276</v>
      </c>
      <c r="B277" s="1">
        <v>45201</v>
      </c>
      <c r="C277" s="2" t="s">
        <v>33</v>
      </c>
      <c r="D277" s="2" t="s">
        <v>304</v>
      </c>
      <c r="E277" s="2" t="s">
        <v>18</v>
      </c>
      <c r="F277">
        <v>21</v>
      </c>
      <c r="G277" s="2" t="s">
        <v>15</v>
      </c>
      <c r="H277">
        <v>4</v>
      </c>
      <c r="I277">
        <v>25</v>
      </c>
      <c r="J277">
        <v>100</v>
      </c>
      <c r="K277">
        <v>100</v>
      </c>
      <c r="L277">
        <v>2023</v>
      </c>
      <c r="M277">
        <v>157</v>
      </c>
      <c r="N277">
        <v>45101</v>
      </c>
      <c r="O277" t="str">
        <v>June</v>
      </c>
      <c r="P277" t="str">
        <v>CUST157</v>
      </c>
      <c r="Q277" t="str">
        <v>Male</v>
      </c>
      <c r="R277">
        <v>62</v>
      </c>
      <c r="S277" t="str">
        <v>Electronics</v>
      </c>
      <c r="T277">
        <v>4</v>
      </c>
      <c r="U277">
        <v>500</v>
      </c>
      <c r="V277">
        <v>2000</v>
      </c>
      <c r="W277">
        <v>2000</v>
      </c>
      <c r="X277">
        <v>2023</v>
      </c>
    </row>
    <row r="278" spans="1:24" x14ac:dyDescent="0.35">
      <c r="A278">
        <v>277</v>
      </c>
      <c r="B278" s="1">
        <v>45156</v>
      </c>
      <c r="C278" s="2" t="s">
        <v>37</v>
      </c>
      <c r="D278" s="2" t="s">
        <v>305</v>
      </c>
      <c r="E278" s="2" t="s">
        <v>14</v>
      </c>
      <c r="F278">
        <v>36</v>
      </c>
      <c r="G278" s="2" t="s">
        <v>19</v>
      </c>
      <c r="H278">
        <v>4</v>
      </c>
      <c r="I278">
        <v>25</v>
      </c>
      <c r="J278">
        <v>100</v>
      </c>
      <c r="K278">
        <v>100</v>
      </c>
      <c r="L278">
        <v>2023</v>
      </c>
      <c r="M278">
        <v>158</v>
      </c>
      <c r="N278">
        <v>44984</v>
      </c>
      <c r="O278" t="str">
        <v>February</v>
      </c>
      <c r="P278" t="str">
        <v>CUST158</v>
      </c>
      <c r="Q278" t="str">
        <v>Female</v>
      </c>
      <c r="R278">
        <v>44</v>
      </c>
      <c r="S278" t="str">
        <v>Electronics</v>
      </c>
      <c r="T278">
        <v>2</v>
      </c>
      <c r="U278">
        <v>300</v>
      </c>
      <c r="V278">
        <v>600</v>
      </c>
      <c r="W278">
        <v>600</v>
      </c>
      <c r="X278">
        <v>2023</v>
      </c>
    </row>
    <row r="279" spans="1:24" x14ac:dyDescent="0.35">
      <c r="A279">
        <v>278</v>
      </c>
      <c r="B279" s="1">
        <v>44998</v>
      </c>
      <c r="C279" s="2" t="s">
        <v>28</v>
      </c>
      <c r="D279" s="2" t="s">
        <v>306</v>
      </c>
      <c r="E279" s="2" t="s">
        <v>18</v>
      </c>
      <c r="F279">
        <v>37</v>
      </c>
      <c r="G279" s="2" t="s">
        <v>19</v>
      </c>
      <c r="H279">
        <v>4</v>
      </c>
      <c r="I279">
        <v>25</v>
      </c>
      <c r="J279">
        <v>100</v>
      </c>
      <c r="K279">
        <v>100</v>
      </c>
      <c r="L279">
        <v>2023</v>
      </c>
      <c r="M279">
        <v>159</v>
      </c>
      <c r="N279">
        <v>45077</v>
      </c>
      <c r="O279" t="str">
        <v>May</v>
      </c>
      <c r="P279" t="str">
        <v>CUST159</v>
      </c>
      <c r="Q279" t="str">
        <v>Male</v>
      </c>
      <c r="R279">
        <v>26</v>
      </c>
      <c r="S279" t="str">
        <v>Clothing</v>
      </c>
      <c r="T279">
        <v>4</v>
      </c>
      <c r="U279">
        <v>50</v>
      </c>
      <c r="V279">
        <v>200</v>
      </c>
      <c r="W279">
        <v>200</v>
      </c>
      <c r="X279">
        <v>2023</v>
      </c>
    </row>
    <row r="280" spans="1:24" x14ac:dyDescent="0.35">
      <c r="A280">
        <v>279</v>
      </c>
      <c r="B280" s="1">
        <v>45143</v>
      </c>
      <c r="C280" s="2" t="s">
        <v>37</v>
      </c>
      <c r="D280" s="2" t="s">
        <v>307</v>
      </c>
      <c r="E280" s="2" t="s">
        <v>14</v>
      </c>
      <c r="F280">
        <v>50</v>
      </c>
      <c r="G280" s="2" t="s">
        <v>19</v>
      </c>
      <c r="H280">
        <v>1</v>
      </c>
      <c r="I280">
        <v>500</v>
      </c>
      <c r="J280">
        <v>500</v>
      </c>
      <c r="K280">
        <v>500</v>
      </c>
      <c r="L280">
        <v>2023</v>
      </c>
      <c r="M280">
        <v>160</v>
      </c>
      <c r="N280">
        <v>45149</v>
      </c>
      <c r="O280" t="str">
        <v>August</v>
      </c>
      <c r="P280" t="str">
        <v>CUST160</v>
      </c>
      <c r="Q280" t="str">
        <v>Female</v>
      </c>
      <c r="R280">
        <v>43</v>
      </c>
      <c r="S280" t="str">
        <v>Clothing</v>
      </c>
      <c r="T280">
        <v>2</v>
      </c>
      <c r="U280">
        <v>50</v>
      </c>
      <c r="V280">
        <v>100</v>
      </c>
      <c r="W280">
        <v>100</v>
      </c>
      <c r="X280">
        <v>2023</v>
      </c>
    </row>
    <row r="281" spans="1:24" x14ac:dyDescent="0.35">
      <c r="A281">
        <v>280</v>
      </c>
      <c r="B281" s="1">
        <v>45020</v>
      </c>
      <c r="C281" s="2" t="s">
        <v>26</v>
      </c>
      <c r="D281" s="2" t="s">
        <v>308</v>
      </c>
      <c r="E281" s="2" t="s">
        <v>18</v>
      </c>
      <c r="F281">
        <v>37</v>
      </c>
      <c r="G281" s="2" t="s">
        <v>19</v>
      </c>
      <c r="H281">
        <v>3</v>
      </c>
      <c r="I281">
        <v>500</v>
      </c>
      <c r="J281">
        <v>1500</v>
      </c>
      <c r="K281">
        <v>1500</v>
      </c>
      <c r="L281">
        <v>2023</v>
      </c>
      <c r="M281">
        <v>161</v>
      </c>
      <c r="N281">
        <v>45007</v>
      </c>
      <c r="O281" t="str">
        <v>March</v>
      </c>
      <c r="P281" t="str">
        <v>CUST161</v>
      </c>
      <c r="Q281" t="str">
        <v>Male</v>
      </c>
      <c r="R281">
        <v>64</v>
      </c>
      <c r="S281" t="str">
        <v>Beauty</v>
      </c>
      <c r="T281">
        <v>2</v>
      </c>
      <c r="U281">
        <v>500</v>
      </c>
      <c r="V281">
        <v>1000</v>
      </c>
      <c r="W281">
        <v>1000</v>
      </c>
      <c r="X281">
        <v>2023</v>
      </c>
    </row>
    <row r="282" spans="1:24" x14ac:dyDescent="0.35">
      <c r="A282">
        <v>281</v>
      </c>
      <c r="B282" s="1">
        <v>45069</v>
      </c>
      <c r="C282" s="2" t="s">
        <v>23</v>
      </c>
      <c r="D282" s="2" t="s">
        <v>309</v>
      </c>
      <c r="E282" s="2" t="s">
        <v>18</v>
      </c>
      <c r="F282">
        <v>29</v>
      </c>
      <c r="G282" s="2" t="s">
        <v>15</v>
      </c>
      <c r="H282">
        <v>4</v>
      </c>
      <c r="I282">
        <v>500</v>
      </c>
      <c r="J282">
        <v>2000</v>
      </c>
      <c r="K282">
        <v>2000</v>
      </c>
      <c r="L282">
        <v>2023</v>
      </c>
      <c r="M282">
        <v>162</v>
      </c>
      <c r="N282">
        <v>45159</v>
      </c>
      <c r="O282" t="str">
        <v>August</v>
      </c>
      <c r="P282" t="str">
        <v>CUST162</v>
      </c>
      <c r="Q282" t="str">
        <v>Male</v>
      </c>
      <c r="R282">
        <v>39</v>
      </c>
      <c r="S282" t="str">
        <v>Clothing</v>
      </c>
      <c r="T282">
        <v>2</v>
      </c>
      <c r="U282">
        <v>30</v>
      </c>
      <c r="V282">
        <v>60</v>
      </c>
      <c r="W282">
        <v>60</v>
      </c>
      <c r="X282">
        <v>2023</v>
      </c>
    </row>
    <row r="283" spans="1:24" x14ac:dyDescent="0.35">
      <c r="A283">
        <v>282</v>
      </c>
      <c r="B283" s="1">
        <v>45163</v>
      </c>
      <c r="C283" s="2" t="s">
        <v>37</v>
      </c>
      <c r="D283" s="2" t="s">
        <v>310</v>
      </c>
      <c r="E283" s="2" t="s">
        <v>18</v>
      </c>
      <c r="F283">
        <v>64</v>
      </c>
      <c r="G283" s="2" t="s">
        <v>22</v>
      </c>
      <c r="H283">
        <v>4</v>
      </c>
      <c r="I283">
        <v>50</v>
      </c>
      <c r="J283">
        <v>200</v>
      </c>
      <c r="K283">
        <v>200</v>
      </c>
      <c r="L283">
        <v>2023</v>
      </c>
      <c r="M283">
        <v>163</v>
      </c>
      <c r="N283">
        <v>44928</v>
      </c>
      <c r="O283" t="str">
        <v>January</v>
      </c>
      <c r="P283" t="str">
        <v>CUST163</v>
      </c>
      <c r="Q283" t="str">
        <v>Female</v>
      </c>
      <c r="R283">
        <v>64</v>
      </c>
      <c r="S283" t="str">
        <v>Clothing</v>
      </c>
      <c r="T283">
        <v>3</v>
      </c>
      <c r="U283">
        <v>50</v>
      </c>
      <c r="V283">
        <v>150</v>
      </c>
      <c r="W283">
        <v>150</v>
      </c>
      <c r="X283">
        <v>2023</v>
      </c>
    </row>
    <row r="284" spans="1:24" x14ac:dyDescent="0.35">
      <c r="A284">
        <v>283</v>
      </c>
      <c r="B284" s="1">
        <v>45054</v>
      </c>
      <c r="C284" s="2" t="s">
        <v>23</v>
      </c>
      <c r="D284" s="2" t="s">
        <v>311</v>
      </c>
      <c r="E284" s="2" t="s">
        <v>18</v>
      </c>
      <c r="F284">
        <v>18</v>
      </c>
      <c r="G284" s="2" t="s">
        <v>22</v>
      </c>
      <c r="H284">
        <v>1</v>
      </c>
      <c r="I284">
        <v>500</v>
      </c>
      <c r="J284">
        <v>500</v>
      </c>
      <c r="K284">
        <v>500</v>
      </c>
      <c r="L284">
        <v>2023</v>
      </c>
      <c r="M284">
        <v>164</v>
      </c>
      <c r="N284">
        <v>45061</v>
      </c>
      <c r="O284" t="str">
        <v>May</v>
      </c>
      <c r="P284" t="str">
        <v>CUST164</v>
      </c>
      <c r="Q284" t="str">
        <v>Female</v>
      </c>
      <c r="R284">
        <v>47</v>
      </c>
      <c r="S284" t="str">
        <v>Beauty</v>
      </c>
      <c r="T284">
        <v>3</v>
      </c>
      <c r="U284">
        <v>500</v>
      </c>
      <c r="V284">
        <v>1500</v>
      </c>
      <c r="W284">
        <v>1500</v>
      </c>
      <c r="X284">
        <v>2023</v>
      </c>
    </row>
    <row r="285" spans="1:24" x14ac:dyDescent="0.35">
      <c r="A285">
        <v>284</v>
      </c>
      <c r="B285" s="1">
        <v>44965</v>
      </c>
      <c r="C285" s="2" t="s">
        <v>16</v>
      </c>
      <c r="D285" s="2" t="s">
        <v>312</v>
      </c>
      <c r="E285" s="2" t="s">
        <v>14</v>
      </c>
      <c r="F285">
        <v>43</v>
      </c>
      <c r="G285" s="2" t="s">
        <v>19</v>
      </c>
      <c r="H285">
        <v>4</v>
      </c>
      <c r="I285">
        <v>50</v>
      </c>
      <c r="J285">
        <v>200</v>
      </c>
      <c r="K285">
        <v>200</v>
      </c>
      <c r="L285">
        <v>2023</v>
      </c>
      <c r="M285">
        <v>165</v>
      </c>
      <c r="N285">
        <v>45183</v>
      </c>
      <c r="O285" t="str">
        <v>September</v>
      </c>
      <c r="P285" t="str">
        <v>CUST165</v>
      </c>
      <c r="Q285" t="str">
        <v>Female</v>
      </c>
      <c r="R285">
        <v>60</v>
      </c>
      <c r="S285" t="str">
        <v>Clothing</v>
      </c>
      <c r="T285">
        <v>4</v>
      </c>
      <c r="U285">
        <v>300</v>
      </c>
      <c r="V285">
        <v>1200</v>
      </c>
      <c r="W285">
        <v>1200</v>
      </c>
      <c r="X285">
        <v>2023</v>
      </c>
    </row>
    <row r="286" spans="1:24" x14ac:dyDescent="0.35">
      <c r="A286">
        <v>285</v>
      </c>
      <c r="B286" s="1">
        <v>45153</v>
      </c>
      <c r="C286" s="2" t="s">
        <v>37</v>
      </c>
      <c r="D286" s="2" t="s">
        <v>313</v>
      </c>
      <c r="E286" s="2" t="s">
        <v>18</v>
      </c>
      <c r="F286">
        <v>31</v>
      </c>
      <c r="G286" s="2" t="s">
        <v>22</v>
      </c>
      <c r="H286">
        <v>1</v>
      </c>
      <c r="I286">
        <v>25</v>
      </c>
      <c r="J286">
        <v>25</v>
      </c>
      <c r="K286">
        <v>25</v>
      </c>
      <c r="L286">
        <v>2023</v>
      </c>
      <c r="M286">
        <v>166</v>
      </c>
      <c r="N286">
        <v>45018</v>
      </c>
      <c r="O286" t="str">
        <v>April</v>
      </c>
      <c r="P286" t="str">
        <v>CUST166</v>
      </c>
      <c r="Q286" t="str">
        <v>Male</v>
      </c>
      <c r="R286">
        <v>34</v>
      </c>
      <c r="S286" t="str">
        <v>Clothing</v>
      </c>
      <c r="T286">
        <v>4</v>
      </c>
      <c r="U286">
        <v>500</v>
      </c>
      <c r="V286">
        <v>2000</v>
      </c>
      <c r="W286">
        <v>2000</v>
      </c>
      <c r="X286">
        <v>2023</v>
      </c>
    </row>
    <row r="287" spans="1:24" x14ac:dyDescent="0.35">
      <c r="A287">
        <v>286</v>
      </c>
      <c r="B287" s="1">
        <v>45208</v>
      </c>
      <c r="C287" s="2" t="s">
        <v>33</v>
      </c>
      <c r="D287" s="2" t="s">
        <v>314</v>
      </c>
      <c r="E287" s="2" t="s">
        <v>14</v>
      </c>
      <c r="F287">
        <v>55</v>
      </c>
      <c r="G287" s="2" t="s">
        <v>22</v>
      </c>
      <c r="H287">
        <v>2</v>
      </c>
      <c r="I287">
        <v>25</v>
      </c>
      <c r="J287">
        <v>50</v>
      </c>
      <c r="K287">
        <v>50</v>
      </c>
      <c r="L287">
        <v>2023</v>
      </c>
      <c r="M287">
        <v>167</v>
      </c>
      <c r="N287">
        <v>45186</v>
      </c>
      <c r="O287" t="str">
        <v>September</v>
      </c>
      <c r="P287" t="str">
        <v>CUST167</v>
      </c>
      <c r="Q287" t="str">
        <v>Female</v>
      </c>
      <c r="R287">
        <v>43</v>
      </c>
      <c r="S287" t="str">
        <v>Clothing</v>
      </c>
      <c r="T287">
        <v>3</v>
      </c>
      <c r="U287">
        <v>50</v>
      </c>
      <c r="V287">
        <v>150</v>
      </c>
      <c r="W287">
        <v>150</v>
      </c>
      <c r="X287">
        <v>2023</v>
      </c>
    </row>
    <row r="288" spans="1:24" x14ac:dyDescent="0.35">
      <c r="A288">
        <v>287</v>
      </c>
      <c r="B288" s="1">
        <v>44977</v>
      </c>
      <c r="C288" s="2" t="s">
        <v>16</v>
      </c>
      <c r="D288" s="2" t="s">
        <v>315</v>
      </c>
      <c r="E288" s="2" t="s">
        <v>14</v>
      </c>
      <c r="F288">
        <v>54</v>
      </c>
      <c r="G288" s="2" t="s">
        <v>19</v>
      </c>
      <c r="H288">
        <v>4</v>
      </c>
      <c r="I288">
        <v>25</v>
      </c>
      <c r="J288">
        <v>100</v>
      </c>
      <c r="K288">
        <v>100</v>
      </c>
      <c r="L288">
        <v>2023</v>
      </c>
      <c r="M288">
        <v>168</v>
      </c>
      <c r="N288">
        <v>44981</v>
      </c>
      <c r="O288" t="str">
        <v>February</v>
      </c>
      <c r="P288" t="str">
        <v>CUST168</v>
      </c>
      <c r="Q288" t="str">
        <v>Male</v>
      </c>
      <c r="R288">
        <v>53</v>
      </c>
      <c r="S288" t="str">
        <v>Clothing</v>
      </c>
      <c r="T288">
        <v>1</v>
      </c>
      <c r="U288">
        <v>300</v>
      </c>
      <c r="V288">
        <v>300</v>
      </c>
      <c r="W288">
        <v>300</v>
      </c>
      <c r="X288">
        <v>2023</v>
      </c>
    </row>
    <row r="289" spans="1:24" x14ac:dyDescent="0.35">
      <c r="A289">
        <v>288</v>
      </c>
      <c r="B289" s="1">
        <v>44952</v>
      </c>
      <c r="C289" s="2" t="s">
        <v>20</v>
      </c>
      <c r="D289" s="2" t="s">
        <v>316</v>
      </c>
      <c r="E289" s="2" t="s">
        <v>14</v>
      </c>
      <c r="F289">
        <v>28</v>
      </c>
      <c r="G289" s="2" t="s">
        <v>19</v>
      </c>
      <c r="H289">
        <v>4</v>
      </c>
      <c r="I289">
        <v>30</v>
      </c>
      <c r="J289">
        <v>120</v>
      </c>
      <c r="K289">
        <v>120</v>
      </c>
      <c r="L289">
        <v>2023</v>
      </c>
      <c r="M289">
        <v>169</v>
      </c>
      <c r="N289">
        <v>45247</v>
      </c>
      <c r="O289" t="str">
        <v>November</v>
      </c>
      <c r="P289" t="str">
        <v>CUST169</v>
      </c>
      <c r="Q289" t="str">
        <v>Male</v>
      </c>
      <c r="R289">
        <v>18</v>
      </c>
      <c r="S289" t="str">
        <v>Beauty</v>
      </c>
      <c r="T289">
        <v>3</v>
      </c>
      <c r="U289">
        <v>500</v>
      </c>
      <c r="V289">
        <v>1500</v>
      </c>
      <c r="W289">
        <v>1500</v>
      </c>
      <c r="X289">
        <v>2023</v>
      </c>
    </row>
    <row r="290" spans="1:24" x14ac:dyDescent="0.35">
      <c r="A290">
        <v>289</v>
      </c>
      <c r="B290" s="1">
        <v>45260</v>
      </c>
      <c r="C290" s="2" t="s">
        <v>12</v>
      </c>
      <c r="D290" s="2" t="s">
        <v>317</v>
      </c>
      <c r="E290" s="2" t="s">
        <v>14</v>
      </c>
      <c r="F290">
        <v>53</v>
      </c>
      <c r="G290" s="2" t="s">
        <v>22</v>
      </c>
      <c r="H290">
        <v>2</v>
      </c>
      <c r="I290">
        <v>30</v>
      </c>
      <c r="J290">
        <v>60</v>
      </c>
      <c r="K290">
        <v>60</v>
      </c>
      <c r="L290">
        <v>2023</v>
      </c>
      <c r="M290">
        <v>170</v>
      </c>
      <c r="N290">
        <v>45079</v>
      </c>
      <c r="O290" t="str">
        <v>June</v>
      </c>
      <c r="P290" t="str">
        <v>CUST170</v>
      </c>
      <c r="Q290" t="str">
        <v>Female</v>
      </c>
      <c r="R290">
        <v>25</v>
      </c>
      <c r="S290" t="str">
        <v>Clothing</v>
      </c>
      <c r="T290">
        <v>2</v>
      </c>
      <c r="U290">
        <v>25</v>
      </c>
      <c r="V290">
        <v>50</v>
      </c>
      <c r="W290">
        <v>50</v>
      </c>
      <c r="X290">
        <v>2023</v>
      </c>
    </row>
    <row r="291" spans="1:24" x14ac:dyDescent="0.35">
      <c r="A291">
        <v>290</v>
      </c>
      <c r="B291" s="1">
        <v>45203</v>
      </c>
      <c r="C291" s="2" t="s">
        <v>33</v>
      </c>
      <c r="D291" s="2" t="s">
        <v>318</v>
      </c>
      <c r="E291" s="2" t="s">
        <v>18</v>
      </c>
      <c r="F291">
        <v>30</v>
      </c>
      <c r="G291" s="2" t="s">
        <v>15</v>
      </c>
      <c r="H291">
        <v>2</v>
      </c>
      <c r="I291">
        <v>300</v>
      </c>
      <c r="J291">
        <v>600</v>
      </c>
      <c r="K291">
        <v>600</v>
      </c>
      <c r="L291">
        <v>2023</v>
      </c>
      <c r="M291">
        <v>171</v>
      </c>
      <c r="N291">
        <v>45254</v>
      </c>
      <c r="O291" t="str">
        <v>November</v>
      </c>
      <c r="P291" t="str">
        <v>CUST171</v>
      </c>
      <c r="Q291" t="str">
        <v>Female</v>
      </c>
      <c r="R291">
        <v>52</v>
      </c>
      <c r="S291" t="str">
        <v>Clothing</v>
      </c>
      <c r="T291">
        <v>3</v>
      </c>
      <c r="U291">
        <v>300</v>
      </c>
      <c r="V291">
        <v>900</v>
      </c>
      <c r="W291">
        <v>900</v>
      </c>
      <c r="X291">
        <v>2023</v>
      </c>
    </row>
    <row r="292" spans="1:24" x14ac:dyDescent="0.35">
      <c r="A292">
        <v>291</v>
      </c>
      <c r="B292" s="1">
        <v>44934</v>
      </c>
      <c r="C292" s="2" t="s">
        <v>20</v>
      </c>
      <c r="D292" s="2" t="s">
        <v>319</v>
      </c>
      <c r="E292" s="2" t="s">
        <v>14</v>
      </c>
      <c r="F292">
        <v>60</v>
      </c>
      <c r="G292" s="2" t="s">
        <v>19</v>
      </c>
      <c r="H292">
        <v>2</v>
      </c>
      <c r="I292">
        <v>300</v>
      </c>
      <c r="J292">
        <v>600</v>
      </c>
      <c r="K292">
        <v>600</v>
      </c>
      <c r="L292">
        <v>2023</v>
      </c>
      <c r="M292">
        <v>172</v>
      </c>
      <c r="N292">
        <v>45186</v>
      </c>
      <c r="O292" t="str">
        <v>September</v>
      </c>
      <c r="P292" t="str">
        <v>CUST172</v>
      </c>
      <c r="Q292" t="str">
        <v>Male</v>
      </c>
      <c r="R292">
        <v>32</v>
      </c>
      <c r="S292" t="str">
        <v>Beauty</v>
      </c>
      <c r="T292">
        <v>2</v>
      </c>
      <c r="U292">
        <v>25</v>
      </c>
      <c r="V292">
        <v>50</v>
      </c>
      <c r="W292">
        <v>50</v>
      </c>
      <c r="X292">
        <v>2023</v>
      </c>
    </row>
    <row r="293" spans="1:24" x14ac:dyDescent="0.35">
      <c r="A293">
        <v>292</v>
      </c>
      <c r="B293" s="1">
        <v>44974</v>
      </c>
      <c r="C293" s="2" t="s">
        <v>16</v>
      </c>
      <c r="D293" s="2" t="s">
        <v>320</v>
      </c>
      <c r="E293" s="2" t="s">
        <v>14</v>
      </c>
      <c r="F293">
        <v>20</v>
      </c>
      <c r="G293" s="2" t="s">
        <v>15</v>
      </c>
      <c r="H293">
        <v>4</v>
      </c>
      <c r="I293">
        <v>300</v>
      </c>
      <c r="J293">
        <v>1200</v>
      </c>
      <c r="K293">
        <v>1200</v>
      </c>
      <c r="L293">
        <v>2023</v>
      </c>
      <c r="M293">
        <v>173</v>
      </c>
      <c r="N293">
        <v>45238</v>
      </c>
      <c r="O293" t="str">
        <v>November</v>
      </c>
      <c r="P293" t="str">
        <v>CUST173</v>
      </c>
      <c r="Q293" t="str">
        <v>Male</v>
      </c>
      <c r="R293">
        <v>64</v>
      </c>
      <c r="S293" t="str">
        <v>Electronics</v>
      </c>
      <c r="T293">
        <v>4</v>
      </c>
      <c r="U293">
        <v>30</v>
      </c>
      <c r="V293">
        <v>120</v>
      </c>
      <c r="W293">
        <v>120</v>
      </c>
      <c r="X293">
        <v>2023</v>
      </c>
    </row>
    <row r="294" spans="1:24" x14ac:dyDescent="0.35">
      <c r="A294">
        <v>293</v>
      </c>
      <c r="B294" s="1">
        <v>45048</v>
      </c>
      <c r="C294" s="2" t="s">
        <v>23</v>
      </c>
      <c r="D294" s="2" t="s">
        <v>321</v>
      </c>
      <c r="E294" s="2" t="s">
        <v>14</v>
      </c>
      <c r="F294">
        <v>50</v>
      </c>
      <c r="G294" s="2" t="s">
        <v>22</v>
      </c>
      <c r="H294">
        <v>3</v>
      </c>
      <c r="I294">
        <v>30</v>
      </c>
      <c r="J294">
        <v>90</v>
      </c>
      <c r="K294">
        <v>90</v>
      </c>
      <c r="L294">
        <v>2023</v>
      </c>
      <c r="M294">
        <v>174</v>
      </c>
      <c r="N294">
        <v>45028</v>
      </c>
      <c r="O294" t="str">
        <v>April</v>
      </c>
      <c r="P294" t="str">
        <v>CUST174</v>
      </c>
      <c r="Q294" t="str">
        <v>Female</v>
      </c>
      <c r="R294">
        <v>39</v>
      </c>
      <c r="S294" t="str">
        <v>Beauty</v>
      </c>
      <c r="T294">
        <v>1</v>
      </c>
      <c r="U294">
        <v>300</v>
      </c>
      <c r="V294">
        <v>300</v>
      </c>
      <c r="W294">
        <v>300</v>
      </c>
      <c r="X294">
        <v>2023</v>
      </c>
    </row>
    <row r="295" spans="1:24" x14ac:dyDescent="0.35">
      <c r="A295">
        <v>294</v>
      </c>
      <c r="B295" s="1">
        <v>45012</v>
      </c>
      <c r="C295" s="2" t="s">
        <v>28</v>
      </c>
      <c r="D295" s="2" t="s">
        <v>322</v>
      </c>
      <c r="E295" s="2" t="s">
        <v>18</v>
      </c>
      <c r="F295">
        <v>23</v>
      </c>
      <c r="G295" s="2" t="s">
        <v>19</v>
      </c>
      <c r="H295">
        <v>3</v>
      </c>
      <c r="I295">
        <v>30</v>
      </c>
      <c r="J295">
        <v>90</v>
      </c>
      <c r="K295">
        <v>90</v>
      </c>
      <c r="L295">
        <v>2023</v>
      </c>
      <c r="M295">
        <v>175</v>
      </c>
      <c r="N295">
        <v>45005</v>
      </c>
      <c r="O295" t="str">
        <v>March</v>
      </c>
      <c r="P295" t="str">
        <v>CUST175</v>
      </c>
      <c r="Q295" t="str">
        <v>Female</v>
      </c>
      <c r="R295">
        <v>31</v>
      </c>
      <c r="S295" t="str">
        <v>Electronics</v>
      </c>
      <c r="T295">
        <v>4</v>
      </c>
      <c r="U295">
        <v>25</v>
      </c>
      <c r="V295">
        <v>100</v>
      </c>
      <c r="W295">
        <v>100</v>
      </c>
      <c r="X295">
        <v>2023</v>
      </c>
    </row>
    <row r="296" spans="1:24" x14ac:dyDescent="0.35">
      <c r="A296">
        <v>295</v>
      </c>
      <c r="B296" s="1">
        <v>45135</v>
      </c>
      <c r="C296" s="2" t="s">
        <v>70</v>
      </c>
      <c r="D296" s="2" t="s">
        <v>323</v>
      </c>
      <c r="E296" s="2" t="s">
        <v>18</v>
      </c>
      <c r="F296">
        <v>27</v>
      </c>
      <c r="G296" s="2" t="s">
        <v>15</v>
      </c>
      <c r="H296">
        <v>3</v>
      </c>
      <c r="I296">
        <v>300</v>
      </c>
      <c r="J296">
        <v>900</v>
      </c>
      <c r="K296">
        <v>900</v>
      </c>
      <c r="L296">
        <v>2023</v>
      </c>
      <c r="M296">
        <v>176</v>
      </c>
      <c r="N296">
        <v>45118</v>
      </c>
      <c r="O296" t="str">
        <v>July</v>
      </c>
      <c r="P296" t="str">
        <v>CUST176</v>
      </c>
      <c r="Q296" t="str">
        <v>Female</v>
      </c>
      <c r="R296">
        <v>43</v>
      </c>
      <c r="S296" t="str">
        <v>Beauty</v>
      </c>
      <c r="T296">
        <v>2</v>
      </c>
      <c r="U296">
        <v>50</v>
      </c>
      <c r="V296">
        <v>100</v>
      </c>
      <c r="W296">
        <v>100</v>
      </c>
      <c r="X296">
        <v>2023</v>
      </c>
    </row>
    <row r="297" spans="1:24" x14ac:dyDescent="0.35">
      <c r="A297">
        <v>296</v>
      </c>
      <c r="B297" s="1">
        <v>45175</v>
      </c>
      <c r="C297" s="2" t="s">
        <v>44</v>
      </c>
      <c r="D297" s="2" t="s">
        <v>324</v>
      </c>
      <c r="E297" s="2" t="s">
        <v>18</v>
      </c>
      <c r="F297">
        <v>22</v>
      </c>
      <c r="G297" s="2" t="s">
        <v>19</v>
      </c>
      <c r="H297">
        <v>4</v>
      </c>
      <c r="I297">
        <v>300</v>
      </c>
      <c r="J297">
        <v>1200</v>
      </c>
      <c r="K297">
        <v>1200</v>
      </c>
      <c r="L297">
        <v>2023</v>
      </c>
      <c r="M297">
        <v>177</v>
      </c>
      <c r="N297">
        <v>45009</v>
      </c>
      <c r="O297" t="str">
        <v>March</v>
      </c>
      <c r="P297" t="str">
        <v>CUST177</v>
      </c>
      <c r="Q297" t="str">
        <v>Male</v>
      </c>
      <c r="R297">
        <v>45</v>
      </c>
      <c r="S297" t="str">
        <v>Beauty</v>
      </c>
      <c r="T297">
        <v>2</v>
      </c>
      <c r="U297">
        <v>50</v>
      </c>
      <c r="V297">
        <v>100</v>
      </c>
      <c r="W297">
        <v>100</v>
      </c>
      <c r="X297">
        <v>2023</v>
      </c>
    </row>
    <row r="298" spans="1:24" x14ac:dyDescent="0.35">
      <c r="A298">
        <v>297</v>
      </c>
      <c r="B298" s="1">
        <v>45173</v>
      </c>
      <c r="C298" s="2" t="s">
        <v>44</v>
      </c>
      <c r="D298" s="2" t="s">
        <v>325</v>
      </c>
      <c r="E298" s="2" t="s">
        <v>18</v>
      </c>
      <c r="F298">
        <v>40</v>
      </c>
      <c r="G298" s="2" t="s">
        <v>22</v>
      </c>
      <c r="H298">
        <v>2</v>
      </c>
      <c r="I298">
        <v>500</v>
      </c>
      <c r="J298">
        <v>1000</v>
      </c>
      <c r="K298">
        <v>1000</v>
      </c>
      <c r="L298">
        <v>2023</v>
      </c>
      <c r="M298">
        <v>178</v>
      </c>
      <c r="N298">
        <v>45203</v>
      </c>
      <c r="O298" t="str">
        <v>October</v>
      </c>
      <c r="P298" t="str">
        <v>CUST178</v>
      </c>
      <c r="Q298" t="str">
        <v>Male</v>
      </c>
      <c r="R298">
        <v>40</v>
      </c>
      <c r="S298" t="str">
        <v>Clothing</v>
      </c>
      <c r="T298">
        <v>2</v>
      </c>
      <c r="U298">
        <v>30</v>
      </c>
      <c r="V298">
        <v>60</v>
      </c>
      <c r="W298">
        <v>60</v>
      </c>
      <c r="X298">
        <v>2023</v>
      </c>
    </row>
    <row r="299" spans="1:24" x14ac:dyDescent="0.35">
      <c r="A299">
        <v>298</v>
      </c>
      <c r="B299" s="1">
        <v>45036</v>
      </c>
      <c r="C299" s="2" t="s">
        <v>26</v>
      </c>
      <c r="D299" s="2" t="s">
        <v>326</v>
      </c>
      <c r="E299" s="2" t="s">
        <v>14</v>
      </c>
      <c r="F299">
        <v>27</v>
      </c>
      <c r="G299" s="2" t="s">
        <v>15</v>
      </c>
      <c r="H299">
        <v>4</v>
      </c>
      <c r="I299">
        <v>300</v>
      </c>
      <c r="J299">
        <v>1200</v>
      </c>
      <c r="K299">
        <v>1200</v>
      </c>
      <c r="L299">
        <v>2023</v>
      </c>
      <c r="M299">
        <v>179</v>
      </c>
      <c r="N299">
        <v>45198</v>
      </c>
      <c r="O299" t="str">
        <v>September</v>
      </c>
      <c r="P299" t="str">
        <v>CUST179</v>
      </c>
      <c r="Q299" t="str">
        <v>Male</v>
      </c>
      <c r="R299">
        <v>31</v>
      </c>
      <c r="S299" t="str">
        <v>Electronics</v>
      </c>
      <c r="T299">
        <v>1</v>
      </c>
      <c r="U299">
        <v>300</v>
      </c>
      <c r="V299">
        <v>300</v>
      </c>
      <c r="W299">
        <v>300</v>
      </c>
      <c r="X299">
        <v>2023</v>
      </c>
    </row>
    <row r="300" spans="1:24" x14ac:dyDescent="0.35">
      <c r="A300">
        <v>299</v>
      </c>
      <c r="B300" s="1">
        <v>45132</v>
      </c>
      <c r="C300" s="2" t="s">
        <v>70</v>
      </c>
      <c r="D300" s="2" t="s">
        <v>327</v>
      </c>
      <c r="E300" s="2" t="s">
        <v>14</v>
      </c>
      <c r="F300">
        <v>61</v>
      </c>
      <c r="G300" s="2" t="s">
        <v>22</v>
      </c>
      <c r="H300">
        <v>2</v>
      </c>
      <c r="I300">
        <v>500</v>
      </c>
      <c r="J300">
        <v>1000</v>
      </c>
      <c r="K300">
        <v>1000</v>
      </c>
      <c r="L300">
        <v>2023</v>
      </c>
      <c r="M300">
        <v>180</v>
      </c>
      <c r="N300">
        <v>44927</v>
      </c>
      <c r="O300" t="str">
        <v>January</v>
      </c>
      <c r="P300" t="str">
        <v>CUST180</v>
      </c>
      <c r="Q300" t="str">
        <v>Male</v>
      </c>
      <c r="R300">
        <v>41</v>
      </c>
      <c r="S300" t="str">
        <v>Clothing</v>
      </c>
      <c r="T300">
        <v>3</v>
      </c>
      <c r="U300">
        <v>300</v>
      </c>
      <c r="V300">
        <v>900</v>
      </c>
      <c r="W300">
        <v>900</v>
      </c>
      <c r="X300">
        <v>2023</v>
      </c>
    </row>
    <row r="301" spans="1:24" x14ac:dyDescent="0.35">
      <c r="A301">
        <v>300</v>
      </c>
      <c r="B301" s="1">
        <v>44957</v>
      </c>
      <c r="C301" s="2" t="s">
        <v>20</v>
      </c>
      <c r="D301" s="2" t="s">
        <v>328</v>
      </c>
      <c r="E301" s="2" t="s">
        <v>18</v>
      </c>
      <c r="F301">
        <v>19</v>
      </c>
      <c r="G301" s="2" t="s">
        <v>22</v>
      </c>
      <c r="H301">
        <v>4</v>
      </c>
      <c r="I301">
        <v>50</v>
      </c>
      <c r="J301">
        <v>200</v>
      </c>
      <c r="K301">
        <v>200</v>
      </c>
      <c r="L301">
        <v>2023</v>
      </c>
      <c r="M301">
        <v>181</v>
      </c>
      <c r="N301">
        <v>45233</v>
      </c>
      <c r="O301" t="str">
        <v>November</v>
      </c>
      <c r="P301" t="str">
        <v>CUST181</v>
      </c>
      <c r="Q301" t="str">
        <v>Male</v>
      </c>
      <c r="R301">
        <v>19</v>
      </c>
      <c r="S301" t="str">
        <v>Electronics</v>
      </c>
      <c r="T301">
        <v>4</v>
      </c>
      <c r="U301">
        <v>300</v>
      </c>
      <c r="V301">
        <v>1200</v>
      </c>
      <c r="W301">
        <v>1200</v>
      </c>
      <c r="X301">
        <v>2023</v>
      </c>
    </row>
    <row r="302" spans="1:24" x14ac:dyDescent="0.35">
      <c r="A302">
        <v>301</v>
      </c>
      <c r="B302" s="1">
        <v>45011</v>
      </c>
      <c r="C302" s="2" t="s">
        <v>28</v>
      </c>
      <c r="D302" s="2" t="s">
        <v>329</v>
      </c>
      <c r="E302" s="2" t="s">
        <v>14</v>
      </c>
      <c r="F302">
        <v>30</v>
      </c>
      <c r="G302" s="2" t="s">
        <v>19</v>
      </c>
      <c r="H302">
        <v>4</v>
      </c>
      <c r="I302">
        <v>30</v>
      </c>
      <c r="J302">
        <v>120</v>
      </c>
      <c r="K302">
        <v>120</v>
      </c>
      <c r="L302">
        <v>2023</v>
      </c>
      <c r="M302">
        <v>182</v>
      </c>
      <c r="N302">
        <v>45092</v>
      </c>
      <c r="O302" t="str">
        <v>June</v>
      </c>
      <c r="P302" t="str">
        <v>CUST182</v>
      </c>
      <c r="Q302" t="str">
        <v>Male</v>
      </c>
      <c r="R302">
        <v>62</v>
      </c>
      <c r="S302" t="str">
        <v>Beauty</v>
      </c>
      <c r="T302">
        <v>4</v>
      </c>
      <c r="U302">
        <v>30</v>
      </c>
      <c r="V302">
        <v>120</v>
      </c>
      <c r="W302">
        <v>120</v>
      </c>
      <c r="X302">
        <v>2023</v>
      </c>
    </row>
    <row r="303" spans="1:24" x14ac:dyDescent="0.35">
      <c r="A303">
        <v>302</v>
      </c>
      <c r="B303" s="1">
        <v>45121</v>
      </c>
      <c r="C303" s="2" t="s">
        <v>70</v>
      </c>
      <c r="D303" s="2" t="s">
        <v>330</v>
      </c>
      <c r="E303" s="2" t="s">
        <v>14</v>
      </c>
      <c r="F303">
        <v>57</v>
      </c>
      <c r="G303" s="2" t="s">
        <v>15</v>
      </c>
      <c r="H303">
        <v>2</v>
      </c>
      <c r="I303">
        <v>300</v>
      </c>
      <c r="J303">
        <v>600</v>
      </c>
      <c r="K303">
        <v>600</v>
      </c>
      <c r="L303">
        <v>2023</v>
      </c>
      <c r="M303">
        <v>183</v>
      </c>
      <c r="N303">
        <v>45177</v>
      </c>
      <c r="O303" t="str">
        <v>September</v>
      </c>
      <c r="P303" t="str">
        <v>CUST183</v>
      </c>
      <c r="Q303" t="str">
        <v>Female</v>
      </c>
      <c r="R303">
        <v>43</v>
      </c>
      <c r="S303" t="str">
        <v>Beauty</v>
      </c>
      <c r="T303">
        <v>3</v>
      </c>
      <c r="U303">
        <v>300</v>
      </c>
      <c r="V303">
        <v>900</v>
      </c>
      <c r="W303">
        <v>900</v>
      </c>
      <c r="X303">
        <v>2023</v>
      </c>
    </row>
    <row r="304" spans="1:24" x14ac:dyDescent="0.35">
      <c r="A304">
        <v>303</v>
      </c>
      <c r="B304" s="1">
        <v>44928</v>
      </c>
      <c r="C304" s="2" t="s">
        <v>20</v>
      </c>
      <c r="D304" s="2" t="s">
        <v>331</v>
      </c>
      <c r="E304" s="2" t="s">
        <v>14</v>
      </c>
      <c r="F304">
        <v>19</v>
      </c>
      <c r="G304" s="2" t="s">
        <v>22</v>
      </c>
      <c r="H304">
        <v>3</v>
      </c>
      <c r="I304">
        <v>30</v>
      </c>
      <c r="J304">
        <v>90</v>
      </c>
      <c r="K304">
        <v>90</v>
      </c>
      <c r="L304">
        <v>2023</v>
      </c>
      <c r="M304">
        <v>184</v>
      </c>
      <c r="N304">
        <v>44936</v>
      </c>
      <c r="O304" t="str">
        <v>January</v>
      </c>
      <c r="P304" t="str">
        <v>CUST184</v>
      </c>
      <c r="Q304" t="str">
        <v>Male</v>
      </c>
      <c r="R304">
        <v>31</v>
      </c>
      <c r="S304" t="str">
        <v>Electronics</v>
      </c>
      <c r="T304">
        <v>4</v>
      </c>
      <c r="U304">
        <v>50</v>
      </c>
      <c r="V304">
        <v>200</v>
      </c>
      <c r="W304">
        <v>200</v>
      </c>
      <c r="X304">
        <v>2023</v>
      </c>
    </row>
    <row r="305" spans="1:24" x14ac:dyDescent="0.35">
      <c r="A305">
        <v>304</v>
      </c>
      <c r="B305" s="1">
        <v>45126</v>
      </c>
      <c r="C305" s="2" t="s">
        <v>70</v>
      </c>
      <c r="D305" s="2" t="s">
        <v>332</v>
      </c>
      <c r="E305" s="2" t="s">
        <v>18</v>
      </c>
      <c r="F305">
        <v>37</v>
      </c>
      <c r="G305" s="2" t="s">
        <v>22</v>
      </c>
      <c r="H305">
        <v>2</v>
      </c>
      <c r="I305">
        <v>30</v>
      </c>
      <c r="J305">
        <v>60</v>
      </c>
      <c r="K305">
        <v>60</v>
      </c>
      <c r="L305">
        <v>2023</v>
      </c>
      <c r="M305">
        <v>185</v>
      </c>
      <c r="N305">
        <v>44984</v>
      </c>
      <c r="O305" t="str">
        <v>February</v>
      </c>
      <c r="P305" t="str">
        <v>CUST185</v>
      </c>
      <c r="Q305" t="str">
        <v>Male</v>
      </c>
      <c r="R305">
        <v>24</v>
      </c>
      <c r="S305" t="str">
        <v>Clothing</v>
      </c>
      <c r="T305">
        <v>1</v>
      </c>
      <c r="U305">
        <v>25</v>
      </c>
      <c r="V305">
        <v>25</v>
      </c>
      <c r="W305">
        <v>25</v>
      </c>
      <c r="X305">
        <v>2023</v>
      </c>
    </row>
    <row r="306" spans="1:24" x14ac:dyDescent="0.35">
      <c r="A306">
        <v>305</v>
      </c>
      <c r="B306" s="1">
        <v>45062</v>
      </c>
      <c r="C306" s="2" t="s">
        <v>23</v>
      </c>
      <c r="D306" s="2" t="s">
        <v>333</v>
      </c>
      <c r="E306" s="2" t="s">
        <v>18</v>
      </c>
      <c r="F306">
        <v>18</v>
      </c>
      <c r="G306" s="2" t="s">
        <v>15</v>
      </c>
      <c r="H306">
        <v>1</v>
      </c>
      <c r="I306">
        <v>30</v>
      </c>
      <c r="J306">
        <v>30</v>
      </c>
      <c r="K306">
        <v>30</v>
      </c>
      <c r="L306">
        <v>2023</v>
      </c>
      <c r="M306">
        <v>186</v>
      </c>
      <c r="N306">
        <v>45112</v>
      </c>
      <c r="O306" t="str">
        <v>July</v>
      </c>
      <c r="P306" t="str">
        <v>CUST186</v>
      </c>
      <c r="Q306" t="str">
        <v>Male</v>
      </c>
      <c r="R306">
        <v>20</v>
      </c>
      <c r="S306" t="str">
        <v>Clothing</v>
      </c>
      <c r="T306">
        <v>4</v>
      </c>
      <c r="U306">
        <v>50</v>
      </c>
      <c r="V306">
        <v>200</v>
      </c>
      <c r="W306">
        <v>200</v>
      </c>
      <c r="X306">
        <v>2023</v>
      </c>
    </row>
    <row r="307" spans="1:24" x14ac:dyDescent="0.35">
      <c r="A307">
        <v>306</v>
      </c>
      <c r="B307" s="1">
        <v>45159</v>
      </c>
      <c r="C307" s="2" t="s">
        <v>37</v>
      </c>
      <c r="D307" s="2" t="s">
        <v>334</v>
      </c>
      <c r="E307" s="2" t="s">
        <v>14</v>
      </c>
      <c r="F307">
        <v>54</v>
      </c>
      <c r="G307" s="2" t="s">
        <v>22</v>
      </c>
      <c r="H307">
        <v>1</v>
      </c>
      <c r="I307">
        <v>50</v>
      </c>
      <c r="J307">
        <v>50</v>
      </c>
      <c r="K307">
        <v>50</v>
      </c>
      <c r="L307">
        <v>2023</v>
      </c>
      <c r="M307">
        <v>187</v>
      </c>
      <c r="N307">
        <v>45084</v>
      </c>
      <c r="O307" t="str">
        <v>June</v>
      </c>
      <c r="P307" t="str">
        <v>CUST187</v>
      </c>
      <c r="Q307" t="str">
        <v>Female</v>
      </c>
      <c r="R307">
        <v>64</v>
      </c>
      <c r="S307" t="str">
        <v>Clothing</v>
      </c>
      <c r="T307">
        <v>2</v>
      </c>
      <c r="U307">
        <v>50</v>
      </c>
      <c r="V307">
        <v>100</v>
      </c>
      <c r="W307">
        <v>100</v>
      </c>
      <c r="X307">
        <v>2023</v>
      </c>
    </row>
    <row r="308" spans="1:24" x14ac:dyDescent="0.35">
      <c r="A308">
        <v>307</v>
      </c>
      <c r="B308" s="1">
        <v>45073</v>
      </c>
      <c r="C308" s="2" t="s">
        <v>23</v>
      </c>
      <c r="D308" s="2" t="s">
        <v>335</v>
      </c>
      <c r="E308" s="2" t="s">
        <v>18</v>
      </c>
      <c r="F308">
        <v>26</v>
      </c>
      <c r="G308" s="2" t="s">
        <v>22</v>
      </c>
      <c r="H308">
        <v>2</v>
      </c>
      <c r="I308">
        <v>25</v>
      </c>
      <c r="J308">
        <v>50</v>
      </c>
      <c r="K308">
        <v>50</v>
      </c>
      <c r="L308">
        <v>2023</v>
      </c>
      <c r="M308">
        <v>188</v>
      </c>
      <c r="N308">
        <v>45049</v>
      </c>
      <c r="O308" t="str">
        <v>May</v>
      </c>
      <c r="P308" t="str">
        <v>CUST188</v>
      </c>
      <c r="Q308" t="str">
        <v>Male</v>
      </c>
      <c r="R308">
        <v>40</v>
      </c>
      <c r="S308" t="str">
        <v>Clothing</v>
      </c>
      <c r="T308">
        <v>3</v>
      </c>
      <c r="U308">
        <v>25</v>
      </c>
      <c r="V308">
        <v>75</v>
      </c>
      <c r="W308">
        <v>75</v>
      </c>
      <c r="X308">
        <v>2023</v>
      </c>
    </row>
    <row r="309" spans="1:24" x14ac:dyDescent="0.35">
      <c r="A309">
        <v>308</v>
      </c>
      <c r="B309" s="1">
        <v>45143</v>
      </c>
      <c r="C309" s="2" t="s">
        <v>37</v>
      </c>
      <c r="D309" s="2" t="s">
        <v>336</v>
      </c>
      <c r="E309" s="2" t="s">
        <v>18</v>
      </c>
      <c r="F309">
        <v>34</v>
      </c>
      <c r="G309" s="2" t="s">
        <v>15</v>
      </c>
      <c r="H309">
        <v>4</v>
      </c>
      <c r="I309">
        <v>300</v>
      </c>
      <c r="J309">
        <v>1200</v>
      </c>
      <c r="K309">
        <v>1200</v>
      </c>
      <c r="L309">
        <v>2023</v>
      </c>
      <c r="M309">
        <v>189</v>
      </c>
      <c r="N309">
        <v>44956</v>
      </c>
      <c r="O309" t="str">
        <v>January</v>
      </c>
      <c r="P309" t="str">
        <v>CUST189</v>
      </c>
      <c r="Q309" t="str">
        <v>Male</v>
      </c>
      <c r="R309">
        <v>63</v>
      </c>
      <c r="S309" t="str">
        <v>Beauty</v>
      </c>
      <c r="T309">
        <v>1</v>
      </c>
      <c r="U309">
        <v>50</v>
      </c>
      <c r="V309">
        <v>50</v>
      </c>
      <c r="W309">
        <v>50</v>
      </c>
      <c r="X309">
        <v>2023</v>
      </c>
    </row>
    <row r="310" spans="1:24" x14ac:dyDescent="0.35">
      <c r="A310">
        <v>309</v>
      </c>
      <c r="B310" s="1">
        <v>45283</v>
      </c>
      <c r="C310" s="2" t="s">
        <v>31</v>
      </c>
      <c r="D310" s="2" t="s">
        <v>337</v>
      </c>
      <c r="E310" s="2" t="s">
        <v>18</v>
      </c>
      <c r="F310">
        <v>26</v>
      </c>
      <c r="G310" s="2" t="s">
        <v>15</v>
      </c>
      <c r="H310">
        <v>1</v>
      </c>
      <c r="I310">
        <v>25</v>
      </c>
      <c r="J310">
        <v>25</v>
      </c>
      <c r="K310">
        <v>25</v>
      </c>
      <c r="L310">
        <v>2023</v>
      </c>
      <c r="M310">
        <v>190</v>
      </c>
      <c r="N310">
        <v>45050</v>
      </c>
      <c r="O310" t="str">
        <v>May</v>
      </c>
      <c r="P310" t="str">
        <v>CUST190</v>
      </c>
      <c r="Q310" t="str">
        <v>Female</v>
      </c>
      <c r="R310">
        <v>60</v>
      </c>
      <c r="S310" t="str">
        <v>Beauty</v>
      </c>
      <c r="T310">
        <v>3</v>
      </c>
      <c r="U310">
        <v>30</v>
      </c>
      <c r="V310">
        <v>90</v>
      </c>
      <c r="W310">
        <v>90</v>
      </c>
      <c r="X310">
        <v>2023</v>
      </c>
    </row>
    <row r="311" spans="1:24" x14ac:dyDescent="0.35">
      <c r="A311">
        <v>310</v>
      </c>
      <c r="B311" s="1">
        <v>45211</v>
      </c>
      <c r="C311" s="2" t="s">
        <v>33</v>
      </c>
      <c r="D311" s="2" t="s">
        <v>338</v>
      </c>
      <c r="E311" s="2" t="s">
        <v>18</v>
      </c>
      <c r="F311">
        <v>28</v>
      </c>
      <c r="G311" s="2" t="s">
        <v>15</v>
      </c>
      <c r="H311">
        <v>1</v>
      </c>
      <c r="I311">
        <v>25</v>
      </c>
      <c r="J311">
        <v>25</v>
      </c>
      <c r="K311">
        <v>25</v>
      </c>
      <c r="L311">
        <v>2023</v>
      </c>
      <c r="M311">
        <v>191</v>
      </c>
      <c r="N311">
        <v>45217</v>
      </c>
      <c r="O311" t="str">
        <v>October</v>
      </c>
      <c r="P311" t="str">
        <v>CUST191</v>
      </c>
      <c r="Q311" t="str">
        <v>Male</v>
      </c>
      <c r="R311">
        <v>64</v>
      </c>
      <c r="S311" t="str">
        <v>Beauty</v>
      </c>
      <c r="T311">
        <v>1</v>
      </c>
      <c r="U311">
        <v>25</v>
      </c>
      <c r="V311">
        <v>25</v>
      </c>
      <c r="W311">
        <v>25</v>
      </c>
      <c r="X311">
        <v>2023</v>
      </c>
    </row>
    <row r="312" spans="1:24" x14ac:dyDescent="0.35">
      <c r="A312">
        <v>311</v>
      </c>
      <c r="B312" s="1">
        <v>45265</v>
      </c>
      <c r="C312" s="2" t="s">
        <v>31</v>
      </c>
      <c r="D312" s="2" t="s">
        <v>339</v>
      </c>
      <c r="E312" s="2" t="s">
        <v>18</v>
      </c>
      <c r="F312">
        <v>32</v>
      </c>
      <c r="G312" s="2" t="s">
        <v>15</v>
      </c>
      <c r="H312">
        <v>4</v>
      </c>
      <c r="I312">
        <v>25</v>
      </c>
      <c r="J312">
        <v>100</v>
      </c>
      <c r="K312">
        <v>100</v>
      </c>
      <c r="L312">
        <v>2023</v>
      </c>
      <c r="M312">
        <v>192</v>
      </c>
      <c r="N312">
        <v>44967</v>
      </c>
      <c r="O312" t="str">
        <v>February</v>
      </c>
      <c r="P312" t="str">
        <v>CUST192</v>
      </c>
      <c r="Q312" t="str">
        <v>Male</v>
      </c>
      <c r="R312">
        <v>62</v>
      </c>
      <c r="S312" t="str">
        <v>Beauty</v>
      </c>
      <c r="T312">
        <v>2</v>
      </c>
      <c r="U312">
        <v>50</v>
      </c>
      <c r="V312">
        <v>100</v>
      </c>
      <c r="W312">
        <v>100</v>
      </c>
      <c r="X312">
        <v>2023</v>
      </c>
    </row>
    <row r="313" spans="1:24" x14ac:dyDescent="0.35">
      <c r="A313">
        <v>312</v>
      </c>
      <c r="B313" s="1">
        <v>45176</v>
      </c>
      <c r="C313" s="2" t="s">
        <v>44</v>
      </c>
      <c r="D313" s="2" t="s">
        <v>340</v>
      </c>
      <c r="E313" s="2" t="s">
        <v>14</v>
      </c>
      <c r="F313">
        <v>41</v>
      </c>
      <c r="G313" s="2" t="s">
        <v>19</v>
      </c>
      <c r="H313">
        <v>4</v>
      </c>
      <c r="I313">
        <v>30</v>
      </c>
      <c r="J313">
        <v>120</v>
      </c>
      <c r="K313">
        <v>120</v>
      </c>
      <c r="L313">
        <v>2023</v>
      </c>
      <c r="M313">
        <v>193</v>
      </c>
      <c r="N313">
        <v>44970</v>
      </c>
      <c r="O313" t="str">
        <v>February</v>
      </c>
      <c r="P313" t="str">
        <v>CUST193</v>
      </c>
      <c r="Q313" t="str">
        <v>Male</v>
      </c>
      <c r="R313">
        <v>35</v>
      </c>
      <c r="S313" t="str">
        <v>Beauty</v>
      </c>
      <c r="T313">
        <v>3</v>
      </c>
      <c r="U313">
        <v>500</v>
      </c>
      <c r="V313">
        <v>1500</v>
      </c>
      <c r="W313">
        <v>1500</v>
      </c>
      <c r="X313">
        <v>2023</v>
      </c>
    </row>
    <row r="314" spans="1:24" x14ac:dyDescent="0.35">
      <c r="A314">
        <v>313</v>
      </c>
      <c r="B314" s="1">
        <v>45006</v>
      </c>
      <c r="C314" s="2" t="s">
        <v>28</v>
      </c>
      <c r="D314" s="2" t="s">
        <v>341</v>
      </c>
      <c r="E314" s="2" t="s">
        <v>18</v>
      </c>
      <c r="F314">
        <v>55</v>
      </c>
      <c r="G314" s="2" t="s">
        <v>15</v>
      </c>
      <c r="H314">
        <v>3</v>
      </c>
      <c r="I314">
        <v>500</v>
      </c>
      <c r="J314">
        <v>1500</v>
      </c>
      <c r="K314">
        <v>1500</v>
      </c>
      <c r="L314">
        <v>2023</v>
      </c>
      <c r="M314">
        <v>194</v>
      </c>
      <c r="N314">
        <v>45175</v>
      </c>
      <c r="O314" t="str">
        <v>September</v>
      </c>
      <c r="P314" t="str">
        <v>CUST194</v>
      </c>
      <c r="Q314" t="str">
        <v>Male</v>
      </c>
      <c r="R314">
        <v>55</v>
      </c>
      <c r="S314" t="str">
        <v>Clothing</v>
      </c>
      <c r="T314">
        <v>4</v>
      </c>
      <c r="U314">
        <v>50</v>
      </c>
      <c r="V314">
        <v>200</v>
      </c>
      <c r="W314">
        <v>200</v>
      </c>
      <c r="X314">
        <v>2023</v>
      </c>
    </row>
    <row r="315" spans="1:24" x14ac:dyDescent="0.35">
      <c r="A315">
        <v>314</v>
      </c>
      <c r="B315" s="1">
        <v>45024</v>
      </c>
      <c r="C315" s="2" t="s">
        <v>26</v>
      </c>
      <c r="D315" s="2" t="s">
        <v>342</v>
      </c>
      <c r="E315" s="2" t="s">
        <v>14</v>
      </c>
      <c r="F315">
        <v>52</v>
      </c>
      <c r="G315" s="2" t="s">
        <v>19</v>
      </c>
      <c r="H315">
        <v>4</v>
      </c>
      <c r="I315">
        <v>30</v>
      </c>
      <c r="J315">
        <v>120</v>
      </c>
      <c r="K315">
        <v>120</v>
      </c>
      <c r="L315">
        <v>2023</v>
      </c>
      <c r="M315">
        <v>195</v>
      </c>
      <c r="N315">
        <v>44962</v>
      </c>
      <c r="O315" t="str">
        <v>February</v>
      </c>
      <c r="P315" t="str">
        <v>CUST195</v>
      </c>
      <c r="Q315" t="str">
        <v>Male</v>
      </c>
      <c r="R315">
        <v>52</v>
      </c>
      <c r="S315" t="str">
        <v>Clothing</v>
      </c>
      <c r="T315">
        <v>1</v>
      </c>
      <c r="U315">
        <v>30</v>
      </c>
      <c r="V315">
        <v>30</v>
      </c>
      <c r="W315">
        <v>30</v>
      </c>
      <c r="X315">
        <v>2023</v>
      </c>
    </row>
    <row r="316" spans="1:24" x14ac:dyDescent="0.35">
      <c r="A316">
        <v>315</v>
      </c>
      <c r="B316" s="1">
        <v>45078</v>
      </c>
      <c r="C316" s="2" t="s">
        <v>62</v>
      </c>
      <c r="D316" s="2" t="s">
        <v>343</v>
      </c>
      <c r="E316" s="2" t="s">
        <v>14</v>
      </c>
      <c r="F316">
        <v>47</v>
      </c>
      <c r="G316" s="2" t="s">
        <v>19</v>
      </c>
      <c r="H316">
        <v>2</v>
      </c>
      <c r="I316">
        <v>30</v>
      </c>
      <c r="J316">
        <v>60</v>
      </c>
      <c r="K316">
        <v>60</v>
      </c>
      <c r="L316">
        <v>2023</v>
      </c>
      <c r="M316">
        <v>196</v>
      </c>
      <c r="N316">
        <v>45199</v>
      </c>
      <c r="O316" t="str">
        <v>September</v>
      </c>
      <c r="P316" t="str">
        <v>CUST196</v>
      </c>
      <c r="Q316" t="str">
        <v>Female</v>
      </c>
      <c r="R316">
        <v>32</v>
      </c>
      <c r="S316" t="str">
        <v>Clothing</v>
      </c>
      <c r="T316">
        <v>3</v>
      </c>
      <c r="U316">
        <v>300</v>
      </c>
      <c r="V316">
        <v>900</v>
      </c>
      <c r="W316">
        <v>900</v>
      </c>
      <c r="X316">
        <v>2023</v>
      </c>
    </row>
    <row r="317" spans="1:24" x14ac:dyDescent="0.35">
      <c r="A317">
        <v>316</v>
      </c>
      <c r="B317" s="1">
        <v>45038</v>
      </c>
      <c r="C317" s="2" t="s">
        <v>26</v>
      </c>
      <c r="D317" s="2" t="s">
        <v>344</v>
      </c>
      <c r="E317" s="2" t="s">
        <v>18</v>
      </c>
      <c r="F317">
        <v>48</v>
      </c>
      <c r="G317" s="2" t="s">
        <v>19</v>
      </c>
      <c r="H317">
        <v>2</v>
      </c>
      <c r="I317">
        <v>25</v>
      </c>
      <c r="J317">
        <v>50</v>
      </c>
      <c r="K317">
        <v>50</v>
      </c>
      <c r="L317">
        <v>2023</v>
      </c>
      <c r="M317">
        <v>197</v>
      </c>
      <c r="N317">
        <v>44991</v>
      </c>
      <c r="O317" t="str">
        <v>March</v>
      </c>
      <c r="P317" t="str">
        <v>CUST197</v>
      </c>
      <c r="Q317" t="str">
        <v>Female</v>
      </c>
      <c r="R317">
        <v>42</v>
      </c>
      <c r="S317" t="str">
        <v>Clothing</v>
      </c>
      <c r="T317">
        <v>4</v>
      </c>
      <c r="U317">
        <v>50</v>
      </c>
      <c r="V317">
        <v>200</v>
      </c>
      <c r="W317">
        <v>200</v>
      </c>
      <c r="X317">
        <v>2023</v>
      </c>
    </row>
    <row r="318" spans="1:24" x14ac:dyDescent="0.35">
      <c r="A318">
        <v>317</v>
      </c>
      <c r="B318" s="1">
        <v>44956</v>
      </c>
      <c r="C318" s="2" t="s">
        <v>20</v>
      </c>
      <c r="D318" s="2" t="s">
        <v>345</v>
      </c>
      <c r="E318" s="2" t="s">
        <v>14</v>
      </c>
      <c r="F318">
        <v>22</v>
      </c>
      <c r="G318" s="2" t="s">
        <v>22</v>
      </c>
      <c r="H318">
        <v>3</v>
      </c>
      <c r="I318">
        <v>30</v>
      </c>
      <c r="J318">
        <v>90</v>
      </c>
      <c r="K318">
        <v>90</v>
      </c>
      <c r="L318">
        <v>2023</v>
      </c>
      <c r="M318">
        <v>198</v>
      </c>
      <c r="N318">
        <v>44992</v>
      </c>
      <c r="O318" t="str">
        <v>March</v>
      </c>
      <c r="P318" t="str">
        <v>CUST198</v>
      </c>
      <c r="Q318" t="str">
        <v>Female</v>
      </c>
      <c r="R318">
        <v>54</v>
      </c>
      <c r="S318" t="str">
        <v>Beauty</v>
      </c>
      <c r="T318">
        <v>3</v>
      </c>
      <c r="U318">
        <v>300</v>
      </c>
      <c r="V318">
        <v>900</v>
      </c>
      <c r="W318">
        <v>900</v>
      </c>
      <c r="X318">
        <v>2023</v>
      </c>
    </row>
    <row r="319" spans="1:24" x14ac:dyDescent="0.35">
      <c r="A319">
        <v>318</v>
      </c>
      <c r="B319" s="1">
        <v>45223</v>
      </c>
      <c r="C319" s="2" t="s">
        <v>33</v>
      </c>
      <c r="D319" s="2" t="s">
        <v>346</v>
      </c>
      <c r="E319" s="2" t="s">
        <v>14</v>
      </c>
      <c r="F319">
        <v>61</v>
      </c>
      <c r="G319" s="2" t="s">
        <v>19</v>
      </c>
      <c r="H319">
        <v>1</v>
      </c>
      <c r="I319">
        <v>25</v>
      </c>
      <c r="J319">
        <v>25</v>
      </c>
      <c r="K319">
        <v>25</v>
      </c>
      <c r="L319">
        <v>2023</v>
      </c>
      <c r="M319">
        <v>199</v>
      </c>
      <c r="N319">
        <v>45264</v>
      </c>
      <c r="O319" t="str">
        <v>December</v>
      </c>
      <c r="P319" t="str">
        <v>CUST199</v>
      </c>
      <c r="Q319" t="str">
        <v>Male</v>
      </c>
      <c r="R319">
        <v>45</v>
      </c>
      <c r="S319" t="str">
        <v>Beauty</v>
      </c>
      <c r="T319">
        <v>3</v>
      </c>
      <c r="U319">
        <v>500</v>
      </c>
      <c r="V319">
        <v>1500</v>
      </c>
      <c r="W319">
        <v>1500</v>
      </c>
      <c r="X319">
        <v>2023</v>
      </c>
    </row>
    <row r="320" spans="1:24" x14ac:dyDescent="0.35">
      <c r="A320">
        <v>319</v>
      </c>
      <c r="B320" s="1">
        <v>45204</v>
      </c>
      <c r="C320" s="2" t="s">
        <v>33</v>
      </c>
      <c r="D320" s="2" t="s">
        <v>347</v>
      </c>
      <c r="E320" s="2" t="s">
        <v>14</v>
      </c>
      <c r="F320">
        <v>31</v>
      </c>
      <c r="G320" s="2" t="s">
        <v>19</v>
      </c>
      <c r="H320">
        <v>1</v>
      </c>
      <c r="I320">
        <v>500</v>
      </c>
      <c r="J320">
        <v>500</v>
      </c>
      <c r="K320">
        <v>500</v>
      </c>
      <c r="L320">
        <v>2023</v>
      </c>
      <c r="M320">
        <v>200</v>
      </c>
      <c r="N320">
        <v>45170</v>
      </c>
      <c r="O320" t="str">
        <v>September</v>
      </c>
      <c r="P320" t="str">
        <v>CUST200</v>
      </c>
      <c r="Q320" t="str">
        <v>Male</v>
      </c>
      <c r="R320">
        <v>27</v>
      </c>
      <c r="S320" t="str">
        <v>Beauty</v>
      </c>
      <c r="T320">
        <v>3</v>
      </c>
      <c r="U320">
        <v>50</v>
      </c>
      <c r="V320">
        <v>150</v>
      </c>
      <c r="W320">
        <v>150</v>
      </c>
      <c r="X320">
        <v>2023</v>
      </c>
    </row>
    <row r="321" spans="1:24" x14ac:dyDescent="0.35">
      <c r="A321">
        <v>320</v>
      </c>
      <c r="B321" s="1">
        <v>44958</v>
      </c>
      <c r="C321" s="2" t="s">
        <v>16</v>
      </c>
      <c r="D321" s="2" t="s">
        <v>348</v>
      </c>
      <c r="E321" s="2" t="s">
        <v>18</v>
      </c>
      <c r="F321">
        <v>28</v>
      </c>
      <c r="G321" s="2" t="s">
        <v>22</v>
      </c>
      <c r="H321">
        <v>4</v>
      </c>
      <c r="I321">
        <v>300</v>
      </c>
      <c r="J321">
        <v>1200</v>
      </c>
      <c r="K321">
        <v>1200</v>
      </c>
      <c r="L321">
        <v>2023</v>
      </c>
      <c r="M321">
        <v>201</v>
      </c>
      <c r="N321">
        <v>45208</v>
      </c>
      <c r="O321" t="str">
        <v>October</v>
      </c>
      <c r="P321" t="str">
        <v>CUST201</v>
      </c>
      <c r="Q321" t="str">
        <v>Male</v>
      </c>
      <c r="R321">
        <v>56</v>
      </c>
      <c r="S321" t="str">
        <v>Electronics</v>
      </c>
      <c r="T321">
        <v>1</v>
      </c>
      <c r="U321">
        <v>25</v>
      </c>
      <c r="V321">
        <v>25</v>
      </c>
      <c r="W321">
        <v>25</v>
      </c>
      <c r="X321">
        <v>2023</v>
      </c>
    </row>
    <row r="322" spans="1:24" x14ac:dyDescent="0.35">
      <c r="A322">
        <v>321</v>
      </c>
      <c r="B322" s="1">
        <v>45087</v>
      </c>
      <c r="C322" s="2" t="s">
        <v>62</v>
      </c>
      <c r="D322" s="2" t="s">
        <v>349</v>
      </c>
      <c r="E322" s="2" t="s">
        <v>18</v>
      </c>
      <c r="F322">
        <v>26</v>
      </c>
      <c r="G322" s="2" t="s">
        <v>22</v>
      </c>
      <c r="H322">
        <v>2</v>
      </c>
      <c r="I322">
        <v>25</v>
      </c>
      <c r="J322">
        <v>50</v>
      </c>
      <c r="K322">
        <v>50</v>
      </c>
      <c r="L322">
        <v>2023</v>
      </c>
      <c r="M322">
        <v>202</v>
      </c>
      <c r="N322">
        <v>45011</v>
      </c>
      <c r="O322" t="str">
        <v>March</v>
      </c>
      <c r="P322" t="str">
        <v>CUST202</v>
      </c>
      <c r="Q322" t="str">
        <v>Female</v>
      </c>
      <c r="R322">
        <v>34</v>
      </c>
      <c r="S322" t="str">
        <v>Clothing</v>
      </c>
      <c r="T322">
        <v>4</v>
      </c>
      <c r="U322">
        <v>300</v>
      </c>
      <c r="V322">
        <v>1200</v>
      </c>
      <c r="W322">
        <v>1200</v>
      </c>
      <c r="X322">
        <v>2023</v>
      </c>
    </row>
    <row r="323" spans="1:24" x14ac:dyDescent="0.35">
      <c r="A323">
        <v>322</v>
      </c>
      <c r="B323" s="1">
        <v>44956</v>
      </c>
      <c r="C323" s="2" t="s">
        <v>20</v>
      </c>
      <c r="D323" s="2" t="s">
        <v>350</v>
      </c>
      <c r="E323" s="2" t="s">
        <v>14</v>
      </c>
      <c r="F323">
        <v>51</v>
      </c>
      <c r="G323" s="2" t="s">
        <v>22</v>
      </c>
      <c r="H323">
        <v>1</v>
      </c>
      <c r="I323">
        <v>500</v>
      </c>
      <c r="J323">
        <v>500</v>
      </c>
      <c r="K323">
        <v>500</v>
      </c>
      <c r="L323">
        <v>2023</v>
      </c>
      <c r="M323">
        <v>203</v>
      </c>
      <c r="N323">
        <v>45062</v>
      </c>
      <c r="O323" t="str">
        <v>May</v>
      </c>
      <c r="P323" t="str">
        <v>CUST203</v>
      </c>
      <c r="Q323" t="str">
        <v>Male</v>
      </c>
      <c r="R323">
        <v>56</v>
      </c>
      <c r="S323" t="str">
        <v>Clothing</v>
      </c>
      <c r="T323">
        <v>2</v>
      </c>
      <c r="U323">
        <v>500</v>
      </c>
      <c r="V323">
        <v>1000</v>
      </c>
      <c r="W323">
        <v>1000</v>
      </c>
      <c r="X323">
        <v>2023</v>
      </c>
    </row>
    <row r="324" spans="1:24" x14ac:dyDescent="0.35">
      <c r="A324">
        <v>323</v>
      </c>
      <c r="B324" s="1">
        <v>44952</v>
      </c>
      <c r="C324" s="2" t="s">
        <v>20</v>
      </c>
      <c r="D324" s="2" t="s">
        <v>351</v>
      </c>
      <c r="E324" s="2" t="s">
        <v>18</v>
      </c>
      <c r="F324">
        <v>29</v>
      </c>
      <c r="G324" s="2" t="s">
        <v>15</v>
      </c>
      <c r="H324">
        <v>3</v>
      </c>
      <c r="I324">
        <v>300</v>
      </c>
      <c r="J324">
        <v>900</v>
      </c>
      <c r="K324">
        <v>900</v>
      </c>
      <c r="L324">
        <v>2023</v>
      </c>
      <c r="M324">
        <v>204</v>
      </c>
      <c r="N324">
        <v>45197</v>
      </c>
      <c r="O324" t="str">
        <v>September</v>
      </c>
      <c r="P324" t="str">
        <v>CUST204</v>
      </c>
      <c r="Q324" t="str">
        <v>Male</v>
      </c>
      <c r="R324">
        <v>39</v>
      </c>
      <c r="S324" t="str">
        <v>Beauty</v>
      </c>
      <c r="T324">
        <v>1</v>
      </c>
      <c r="U324">
        <v>25</v>
      </c>
      <c r="V324">
        <v>25</v>
      </c>
      <c r="W324">
        <v>25</v>
      </c>
      <c r="X324">
        <v>2023</v>
      </c>
    </row>
    <row r="325" spans="1:24" x14ac:dyDescent="0.35">
      <c r="A325">
        <v>324</v>
      </c>
      <c r="B325" s="1">
        <v>45226</v>
      </c>
      <c r="C325" s="2" t="s">
        <v>33</v>
      </c>
      <c r="D325" s="2" t="s">
        <v>352</v>
      </c>
      <c r="E325" s="2" t="s">
        <v>18</v>
      </c>
      <c r="F325">
        <v>52</v>
      </c>
      <c r="G325" s="2" t="s">
        <v>22</v>
      </c>
      <c r="H325">
        <v>3</v>
      </c>
      <c r="I325">
        <v>50</v>
      </c>
      <c r="J325">
        <v>150</v>
      </c>
      <c r="K325">
        <v>150</v>
      </c>
      <c r="L325">
        <v>2023</v>
      </c>
      <c r="M325">
        <v>205</v>
      </c>
      <c r="N325">
        <v>45237</v>
      </c>
      <c r="O325" t="str">
        <v>November</v>
      </c>
      <c r="P325" t="str">
        <v>CUST205</v>
      </c>
      <c r="Q325" t="str">
        <v>Female</v>
      </c>
      <c r="R325">
        <v>43</v>
      </c>
      <c r="S325" t="str">
        <v>Clothing</v>
      </c>
      <c r="T325">
        <v>1</v>
      </c>
      <c r="U325">
        <v>25</v>
      </c>
      <c r="V325">
        <v>25</v>
      </c>
      <c r="W325">
        <v>25</v>
      </c>
      <c r="X325">
        <v>2023</v>
      </c>
    </row>
    <row r="326" spans="1:24" x14ac:dyDescent="0.35">
      <c r="A326">
        <v>325</v>
      </c>
      <c r="B326" s="1">
        <v>45171</v>
      </c>
      <c r="C326" s="2" t="s">
        <v>44</v>
      </c>
      <c r="D326" s="2" t="s">
        <v>353</v>
      </c>
      <c r="E326" s="2" t="s">
        <v>18</v>
      </c>
      <c r="F326">
        <v>52</v>
      </c>
      <c r="G326" s="2" t="s">
        <v>22</v>
      </c>
      <c r="H326">
        <v>2</v>
      </c>
      <c r="I326">
        <v>25</v>
      </c>
      <c r="J326">
        <v>50</v>
      </c>
      <c r="K326">
        <v>50</v>
      </c>
      <c r="L326">
        <v>2023</v>
      </c>
      <c r="M326">
        <v>206</v>
      </c>
      <c r="N326">
        <v>45143</v>
      </c>
      <c r="O326" t="str">
        <v>August</v>
      </c>
      <c r="P326" t="str">
        <v>CUST206</v>
      </c>
      <c r="Q326" t="str">
        <v>Male</v>
      </c>
      <c r="R326">
        <v>61</v>
      </c>
      <c r="S326" t="str">
        <v>Clothing</v>
      </c>
      <c r="T326">
        <v>1</v>
      </c>
      <c r="U326">
        <v>25</v>
      </c>
      <c r="V326">
        <v>25</v>
      </c>
      <c r="W326">
        <v>25</v>
      </c>
      <c r="X326">
        <v>2023</v>
      </c>
    </row>
    <row r="327" spans="1:24" x14ac:dyDescent="0.35">
      <c r="A327">
        <v>326</v>
      </c>
      <c r="B327" s="1">
        <v>45184</v>
      </c>
      <c r="C327" s="2" t="s">
        <v>44</v>
      </c>
      <c r="D327" s="2" t="s">
        <v>354</v>
      </c>
      <c r="E327" s="2" t="s">
        <v>18</v>
      </c>
      <c r="F327">
        <v>18</v>
      </c>
      <c r="G327" s="2" t="s">
        <v>19</v>
      </c>
      <c r="H327">
        <v>3</v>
      </c>
      <c r="I327">
        <v>25</v>
      </c>
      <c r="J327">
        <v>75</v>
      </c>
      <c r="K327">
        <v>75</v>
      </c>
      <c r="L327">
        <v>2023</v>
      </c>
      <c r="M327">
        <v>207</v>
      </c>
      <c r="N327">
        <v>45035</v>
      </c>
      <c r="O327" t="str">
        <v>April</v>
      </c>
      <c r="P327" t="str">
        <v>CUST207</v>
      </c>
      <c r="Q327" t="str">
        <v>Female</v>
      </c>
      <c r="R327">
        <v>42</v>
      </c>
      <c r="S327" t="str">
        <v>Beauty</v>
      </c>
      <c r="T327">
        <v>2</v>
      </c>
      <c r="U327">
        <v>25</v>
      </c>
      <c r="V327">
        <v>50</v>
      </c>
      <c r="W327">
        <v>50</v>
      </c>
      <c r="X327">
        <v>2023</v>
      </c>
    </row>
    <row r="328" spans="1:24" x14ac:dyDescent="0.35">
      <c r="A328">
        <v>327</v>
      </c>
      <c r="B328" s="1">
        <v>45198</v>
      </c>
      <c r="C328" s="2" t="s">
        <v>44</v>
      </c>
      <c r="D328" s="2" t="s">
        <v>355</v>
      </c>
      <c r="E328" s="2" t="s">
        <v>14</v>
      </c>
      <c r="F328">
        <v>57</v>
      </c>
      <c r="G328" s="2" t="s">
        <v>22</v>
      </c>
      <c r="H328">
        <v>3</v>
      </c>
      <c r="I328">
        <v>50</v>
      </c>
      <c r="J328">
        <v>150</v>
      </c>
      <c r="K328">
        <v>150</v>
      </c>
      <c r="L328">
        <v>2023</v>
      </c>
      <c r="M328">
        <v>208</v>
      </c>
      <c r="N328">
        <v>45203</v>
      </c>
      <c r="O328" t="str">
        <v>October</v>
      </c>
      <c r="P328" t="str">
        <v>CUST208</v>
      </c>
      <c r="Q328" t="str">
        <v>Female</v>
      </c>
      <c r="R328">
        <v>34</v>
      </c>
      <c r="S328" t="str">
        <v>Electronics</v>
      </c>
      <c r="T328">
        <v>4</v>
      </c>
      <c r="U328">
        <v>50</v>
      </c>
      <c r="V328">
        <v>200</v>
      </c>
      <c r="W328">
        <v>200</v>
      </c>
      <c r="X328">
        <v>2023</v>
      </c>
    </row>
    <row r="329" spans="1:24" x14ac:dyDescent="0.35">
      <c r="A329">
        <v>328</v>
      </c>
      <c r="B329" s="1">
        <v>45007</v>
      </c>
      <c r="C329" s="2" t="s">
        <v>28</v>
      </c>
      <c r="D329" s="2" t="s">
        <v>356</v>
      </c>
      <c r="E329" s="2" t="s">
        <v>14</v>
      </c>
      <c r="F329">
        <v>39</v>
      </c>
      <c r="G329" s="2" t="s">
        <v>15</v>
      </c>
      <c r="H329">
        <v>2</v>
      </c>
      <c r="I329">
        <v>50</v>
      </c>
      <c r="J329">
        <v>100</v>
      </c>
      <c r="K329">
        <v>100</v>
      </c>
      <c r="L329">
        <v>2023</v>
      </c>
      <c r="M329">
        <v>209</v>
      </c>
      <c r="N329">
        <v>45280</v>
      </c>
      <c r="O329" t="str">
        <v>December</v>
      </c>
      <c r="P329" t="str">
        <v>CUST209</v>
      </c>
      <c r="Q329" t="str">
        <v>Female</v>
      </c>
      <c r="R329">
        <v>30</v>
      </c>
      <c r="S329" t="str">
        <v>Electronics</v>
      </c>
      <c r="T329">
        <v>4</v>
      </c>
      <c r="U329">
        <v>50</v>
      </c>
      <c r="V329">
        <v>200</v>
      </c>
      <c r="W329">
        <v>200</v>
      </c>
      <c r="X329">
        <v>2023</v>
      </c>
    </row>
    <row r="330" spans="1:24" x14ac:dyDescent="0.35">
      <c r="A330">
        <v>329</v>
      </c>
      <c r="B330" s="1">
        <v>44956</v>
      </c>
      <c r="C330" s="2" t="s">
        <v>20</v>
      </c>
      <c r="D330" s="2" t="s">
        <v>357</v>
      </c>
      <c r="E330" s="2" t="s">
        <v>18</v>
      </c>
      <c r="F330">
        <v>46</v>
      </c>
      <c r="G330" s="2" t="s">
        <v>22</v>
      </c>
      <c r="H330">
        <v>4</v>
      </c>
      <c r="I330">
        <v>25</v>
      </c>
      <c r="J330">
        <v>100</v>
      </c>
      <c r="K330">
        <v>100</v>
      </c>
      <c r="L330">
        <v>2023</v>
      </c>
      <c r="M330">
        <v>210</v>
      </c>
      <c r="N330">
        <v>45029</v>
      </c>
      <c r="O330" t="str">
        <v>April</v>
      </c>
      <c r="P330" t="str">
        <v>CUST210</v>
      </c>
      <c r="Q330" t="str">
        <v>Male</v>
      </c>
      <c r="R330">
        <v>37</v>
      </c>
      <c r="S330" t="str">
        <v>Electronics</v>
      </c>
      <c r="T330">
        <v>4</v>
      </c>
      <c r="U330">
        <v>50</v>
      </c>
      <c r="V330">
        <v>200</v>
      </c>
      <c r="W330">
        <v>200</v>
      </c>
      <c r="X330">
        <v>2023</v>
      </c>
    </row>
    <row r="331" spans="1:24" x14ac:dyDescent="0.35">
      <c r="A331">
        <v>330</v>
      </c>
      <c r="B331" s="1">
        <v>45187</v>
      </c>
      <c r="C331" s="2" t="s">
        <v>44</v>
      </c>
      <c r="D331" s="2" t="s">
        <v>358</v>
      </c>
      <c r="E331" s="2" t="s">
        <v>18</v>
      </c>
      <c r="F331">
        <v>25</v>
      </c>
      <c r="G331" s="2" t="s">
        <v>15</v>
      </c>
      <c r="H331">
        <v>4</v>
      </c>
      <c r="I331">
        <v>50</v>
      </c>
      <c r="J331">
        <v>200</v>
      </c>
      <c r="K331">
        <v>200</v>
      </c>
      <c r="L331">
        <v>2023</v>
      </c>
      <c r="M331">
        <v>211</v>
      </c>
      <c r="N331">
        <v>45292</v>
      </c>
      <c r="O331" t="str">
        <v>January</v>
      </c>
      <c r="P331" t="str">
        <v>CUST211</v>
      </c>
      <c r="Q331" t="str">
        <v>Male</v>
      </c>
      <c r="R331">
        <v>42</v>
      </c>
      <c r="S331" t="str">
        <v>Beauty</v>
      </c>
      <c r="T331">
        <v>3</v>
      </c>
      <c r="U331">
        <v>500</v>
      </c>
      <c r="V331">
        <v>1500</v>
      </c>
      <c r="W331">
        <v>1500</v>
      </c>
      <c r="X331">
        <v>2024</v>
      </c>
    </row>
    <row r="332" spans="1:24" x14ac:dyDescent="0.35">
      <c r="A332">
        <v>331</v>
      </c>
      <c r="B332" s="1">
        <v>44968</v>
      </c>
      <c r="C332" s="2" t="s">
        <v>16</v>
      </c>
      <c r="D332" s="2" t="s">
        <v>359</v>
      </c>
      <c r="E332" s="2" t="s">
        <v>14</v>
      </c>
      <c r="F332">
        <v>28</v>
      </c>
      <c r="G332" s="2" t="s">
        <v>22</v>
      </c>
      <c r="H332">
        <v>3</v>
      </c>
      <c r="I332">
        <v>30</v>
      </c>
      <c r="J332">
        <v>90</v>
      </c>
      <c r="K332">
        <v>90</v>
      </c>
      <c r="L332">
        <v>2023</v>
      </c>
      <c r="M332">
        <v>212</v>
      </c>
      <c r="N332">
        <v>45086</v>
      </c>
      <c r="O332" t="str">
        <v>June</v>
      </c>
      <c r="P332" t="str">
        <v>CUST212</v>
      </c>
      <c r="Q332" t="str">
        <v>Male</v>
      </c>
      <c r="R332">
        <v>21</v>
      </c>
      <c r="S332" t="str">
        <v>Clothing</v>
      </c>
      <c r="T332">
        <v>3</v>
      </c>
      <c r="U332">
        <v>500</v>
      </c>
      <c r="V332">
        <v>1500</v>
      </c>
      <c r="W332">
        <v>1500</v>
      </c>
      <c r="X332">
        <v>2023</v>
      </c>
    </row>
    <row r="333" spans="1:24" x14ac:dyDescent="0.35">
      <c r="A333">
        <v>332</v>
      </c>
      <c r="B333" s="1">
        <v>45022</v>
      </c>
      <c r="C333" s="2" t="s">
        <v>26</v>
      </c>
      <c r="D333" s="2" t="s">
        <v>360</v>
      </c>
      <c r="E333" s="2" t="s">
        <v>14</v>
      </c>
      <c r="F333">
        <v>58</v>
      </c>
      <c r="G333" s="2" t="s">
        <v>22</v>
      </c>
      <c r="H333">
        <v>4</v>
      </c>
      <c r="I333">
        <v>300</v>
      </c>
      <c r="J333">
        <v>1200</v>
      </c>
      <c r="K333">
        <v>1200</v>
      </c>
      <c r="L333">
        <v>2023</v>
      </c>
      <c r="M333">
        <v>213</v>
      </c>
      <c r="N333">
        <v>45131</v>
      </c>
      <c r="O333" t="str">
        <v>July</v>
      </c>
      <c r="P333" t="str">
        <v>CUST213</v>
      </c>
      <c r="Q333" t="str">
        <v>Male</v>
      </c>
      <c r="R333">
        <v>27</v>
      </c>
      <c r="S333" t="str">
        <v>Beauty</v>
      </c>
      <c r="T333">
        <v>3</v>
      </c>
      <c r="U333">
        <v>500</v>
      </c>
      <c r="V333">
        <v>1500</v>
      </c>
      <c r="W333">
        <v>1500</v>
      </c>
      <c r="X333">
        <v>2023</v>
      </c>
    </row>
    <row r="334" spans="1:24" x14ac:dyDescent="0.35">
      <c r="A334">
        <v>333</v>
      </c>
      <c r="B334" s="1">
        <v>44962</v>
      </c>
      <c r="C334" s="2" t="s">
        <v>16</v>
      </c>
      <c r="D334" s="2" t="s">
        <v>361</v>
      </c>
      <c r="E334" s="2" t="s">
        <v>18</v>
      </c>
      <c r="F334">
        <v>54</v>
      </c>
      <c r="G334" s="2" t="s">
        <v>22</v>
      </c>
      <c r="H334">
        <v>4</v>
      </c>
      <c r="I334">
        <v>300</v>
      </c>
      <c r="J334">
        <v>1200</v>
      </c>
      <c r="K334">
        <v>1200</v>
      </c>
      <c r="L334">
        <v>2023</v>
      </c>
      <c r="M334">
        <v>214</v>
      </c>
      <c r="N334">
        <v>45270</v>
      </c>
      <c r="O334" t="str">
        <v>December</v>
      </c>
      <c r="P334" t="str">
        <v>CUST214</v>
      </c>
      <c r="Q334" t="str">
        <v>Male</v>
      </c>
      <c r="R334">
        <v>20</v>
      </c>
      <c r="S334" t="str">
        <v>Beauty</v>
      </c>
      <c r="T334">
        <v>2</v>
      </c>
      <c r="U334">
        <v>30</v>
      </c>
      <c r="V334">
        <v>60</v>
      </c>
      <c r="W334">
        <v>60</v>
      </c>
      <c r="X334">
        <v>2023</v>
      </c>
    </row>
    <row r="335" spans="1:24" x14ac:dyDescent="0.35">
      <c r="A335">
        <v>334</v>
      </c>
      <c r="B335" s="1">
        <v>45231</v>
      </c>
      <c r="C335" s="2" t="s">
        <v>12</v>
      </c>
      <c r="D335" s="2" t="s">
        <v>362</v>
      </c>
      <c r="E335" s="2" t="s">
        <v>14</v>
      </c>
      <c r="F335">
        <v>31</v>
      </c>
      <c r="G335" s="2" t="s">
        <v>22</v>
      </c>
      <c r="H335">
        <v>3</v>
      </c>
      <c r="I335">
        <v>300</v>
      </c>
      <c r="J335">
        <v>900</v>
      </c>
      <c r="K335">
        <v>900</v>
      </c>
      <c r="L335">
        <v>2023</v>
      </c>
      <c r="M335">
        <v>215</v>
      </c>
      <c r="N335">
        <v>45259</v>
      </c>
      <c r="O335" t="str">
        <v>November</v>
      </c>
      <c r="P335" t="str">
        <v>CUST215</v>
      </c>
      <c r="Q335" t="str">
        <v>Male</v>
      </c>
      <c r="R335">
        <v>58</v>
      </c>
      <c r="S335" t="str">
        <v>Clothing</v>
      </c>
      <c r="T335">
        <v>3</v>
      </c>
      <c r="U335">
        <v>500</v>
      </c>
      <c r="V335">
        <v>1500</v>
      </c>
      <c r="W335">
        <v>1500</v>
      </c>
      <c r="X335">
        <v>2023</v>
      </c>
    </row>
    <row r="336" spans="1:24" x14ac:dyDescent="0.35">
      <c r="A336">
        <v>335</v>
      </c>
      <c r="B336" s="1">
        <v>44961</v>
      </c>
      <c r="C336" s="2" t="s">
        <v>16</v>
      </c>
      <c r="D336" s="2" t="s">
        <v>363</v>
      </c>
      <c r="E336" s="2" t="s">
        <v>18</v>
      </c>
      <c r="F336">
        <v>47</v>
      </c>
      <c r="G336" s="2" t="s">
        <v>15</v>
      </c>
      <c r="H336">
        <v>4</v>
      </c>
      <c r="I336">
        <v>30</v>
      </c>
      <c r="J336">
        <v>120</v>
      </c>
      <c r="K336">
        <v>120</v>
      </c>
      <c r="L336">
        <v>2023</v>
      </c>
      <c r="M336">
        <v>216</v>
      </c>
      <c r="N336">
        <v>45118</v>
      </c>
      <c r="O336" t="str">
        <v>July</v>
      </c>
      <c r="P336" t="str">
        <v>CUST216</v>
      </c>
      <c r="Q336" t="str">
        <v>Male</v>
      </c>
      <c r="R336">
        <v>62</v>
      </c>
      <c r="S336" t="str">
        <v>Electronics</v>
      </c>
      <c r="T336">
        <v>2</v>
      </c>
      <c r="U336">
        <v>50</v>
      </c>
      <c r="V336">
        <v>100</v>
      </c>
      <c r="W336">
        <v>100</v>
      </c>
      <c r="X336">
        <v>2023</v>
      </c>
    </row>
    <row r="337" spans="1:24" x14ac:dyDescent="0.35">
      <c r="A337">
        <v>336</v>
      </c>
      <c r="B337" s="1">
        <v>45272</v>
      </c>
      <c r="C337" s="2" t="s">
        <v>31</v>
      </c>
      <c r="D337" s="2" t="s">
        <v>364</v>
      </c>
      <c r="E337" s="2" t="s">
        <v>18</v>
      </c>
      <c r="F337">
        <v>52</v>
      </c>
      <c r="G337" s="2" t="s">
        <v>15</v>
      </c>
      <c r="H337">
        <v>3</v>
      </c>
      <c r="I337">
        <v>50</v>
      </c>
      <c r="J337">
        <v>150</v>
      </c>
      <c r="K337">
        <v>150</v>
      </c>
      <c r="L337">
        <v>2023</v>
      </c>
      <c r="M337">
        <v>217</v>
      </c>
      <c r="N337">
        <v>45151</v>
      </c>
      <c r="O337" t="str">
        <v>August</v>
      </c>
      <c r="P337" t="str">
        <v>CUST217</v>
      </c>
      <c r="Q337" t="str">
        <v>Female</v>
      </c>
      <c r="R337">
        <v>35</v>
      </c>
      <c r="S337" t="str">
        <v>Electronics</v>
      </c>
      <c r="T337">
        <v>4</v>
      </c>
      <c r="U337">
        <v>50</v>
      </c>
      <c r="V337">
        <v>200</v>
      </c>
      <c r="W337">
        <v>200</v>
      </c>
      <c r="X337">
        <v>2023</v>
      </c>
    </row>
    <row r="338" spans="1:24" x14ac:dyDescent="0.35">
      <c r="A338">
        <v>337</v>
      </c>
      <c r="B338" s="1">
        <v>45047</v>
      </c>
      <c r="C338" s="2" t="s">
        <v>23</v>
      </c>
      <c r="D338" s="2" t="s">
        <v>365</v>
      </c>
      <c r="E338" s="2" t="s">
        <v>14</v>
      </c>
      <c r="F338">
        <v>38</v>
      </c>
      <c r="G338" s="2" t="s">
        <v>19</v>
      </c>
      <c r="H338">
        <v>1</v>
      </c>
      <c r="I338">
        <v>500</v>
      </c>
      <c r="J338">
        <v>500</v>
      </c>
      <c r="K338">
        <v>500</v>
      </c>
      <c r="L338">
        <v>2023</v>
      </c>
      <c r="M338">
        <v>218</v>
      </c>
      <c r="N338">
        <v>45191</v>
      </c>
      <c r="O338" t="str">
        <v>September</v>
      </c>
      <c r="P338" t="str">
        <v>CUST218</v>
      </c>
      <c r="Q338" t="str">
        <v>Male</v>
      </c>
      <c r="R338">
        <v>64</v>
      </c>
      <c r="S338" t="str">
        <v>Beauty</v>
      </c>
      <c r="T338">
        <v>3</v>
      </c>
      <c r="U338">
        <v>30</v>
      </c>
      <c r="V338">
        <v>90</v>
      </c>
      <c r="W338">
        <v>90</v>
      </c>
      <c r="X338">
        <v>2023</v>
      </c>
    </row>
    <row r="339" spans="1:24" x14ac:dyDescent="0.35">
      <c r="A339">
        <v>338</v>
      </c>
      <c r="B339" s="1">
        <v>45133</v>
      </c>
      <c r="C339" s="2" t="s">
        <v>70</v>
      </c>
      <c r="D339" s="2" t="s">
        <v>366</v>
      </c>
      <c r="E339" s="2" t="s">
        <v>14</v>
      </c>
      <c r="F339">
        <v>54</v>
      </c>
      <c r="G339" s="2" t="s">
        <v>15</v>
      </c>
      <c r="H339">
        <v>2</v>
      </c>
      <c r="I339">
        <v>50</v>
      </c>
      <c r="J339">
        <v>100</v>
      </c>
      <c r="K339">
        <v>100</v>
      </c>
      <c r="L339">
        <v>2023</v>
      </c>
      <c r="M339">
        <v>219</v>
      </c>
      <c r="N339">
        <v>45158</v>
      </c>
      <c r="O339" t="str">
        <v>August</v>
      </c>
      <c r="P339" t="str">
        <v>CUST219</v>
      </c>
      <c r="Q339" t="str">
        <v>Female</v>
      </c>
      <c r="R339">
        <v>53</v>
      </c>
      <c r="S339" t="str">
        <v>Electronics</v>
      </c>
      <c r="T339">
        <v>3</v>
      </c>
      <c r="U339">
        <v>30</v>
      </c>
      <c r="V339">
        <v>90</v>
      </c>
      <c r="W339">
        <v>90</v>
      </c>
      <c r="X339">
        <v>2023</v>
      </c>
    </row>
    <row r="340" spans="1:24" x14ac:dyDescent="0.35">
      <c r="A340">
        <v>339</v>
      </c>
      <c r="B340" s="1">
        <v>44988</v>
      </c>
      <c r="C340" s="2" t="s">
        <v>28</v>
      </c>
      <c r="D340" s="2" t="s">
        <v>367</v>
      </c>
      <c r="E340" s="2" t="s">
        <v>18</v>
      </c>
      <c r="F340">
        <v>22</v>
      </c>
      <c r="G340" s="2" t="s">
        <v>22</v>
      </c>
      <c r="H340">
        <v>2</v>
      </c>
      <c r="I340">
        <v>25</v>
      </c>
      <c r="J340">
        <v>50</v>
      </c>
      <c r="K340">
        <v>50</v>
      </c>
      <c r="L340">
        <v>2023</v>
      </c>
      <c r="M340">
        <v>220</v>
      </c>
      <c r="N340">
        <v>44988</v>
      </c>
      <c r="O340" t="str">
        <v>March</v>
      </c>
      <c r="P340" t="str">
        <v>CUST220</v>
      </c>
      <c r="Q340" t="str">
        <v>Male</v>
      </c>
      <c r="R340">
        <v>64</v>
      </c>
      <c r="S340" t="str">
        <v>Beauty</v>
      </c>
      <c r="T340">
        <v>1</v>
      </c>
      <c r="U340">
        <v>500</v>
      </c>
      <c r="V340">
        <v>500</v>
      </c>
      <c r="W340">
        <v>500</v>
      </c>
      <c r="X340">
        <v>2023</v>
      </c>
    </row>
    <row r="341" spans="1:24" x14ac:dyDescent="0.35">
      <c r="A341">
        <v>340</v>
      </c>
      <c r="B341" s="1">
        <v>45218</v>
      </c>
      <c r="C341" s="2" t="s">
        <v>33</v>
      </c>
      <c r="D341" s="2" t="s">
        <v>368</v>
      </c>
      <c r="E341" s="2" t="s">
        <v>18</v>
      </c>
      <c r="F341">
        <v>36</v>
      </c>
      <c r="G341" s="2" t="s">
        <v>19</v>
      </c>
      <c r="H341">
        <v>4</v>
      </c>
      <c r="I341">
        <v>300</v>
      </c>
      <c r="J341">
        <v>1200</v>
      </c>
      <c r="K341">
        <v>1200</v>
      </c>
      <c r="L341">
        <v>2023</v>
      </c>
      <c r="M341">
        <v>221</v>
      </c>
      <c r="N341">
        <v>45053</v>
      </c>
      <c r="O341" t="str">
        <v>May</v>
      </c>
      <c r="P341" t="str">
        <v>CUST221</v>
      </c>
      <c r="Q341" t="str">
        <v>Male</v>
      </c>
      <c r="R341">
        <v>39</v>
      </c>
      <c r="S341" t="str">
        <v>Beauty</v>
      </c>
      <c r="T341">
        <v>2</v>
      </c>
      <c r="U341">
        <v>300</v>
      </c>
      <c r="V341">
        <v>600</v>
      </c>
      <c r="W341">
        <v>600</v>
      </c>
      <c r="X341">
        <v>2023</v>
      </c>
    </row>
    <row r="342" spans="1:24" x14ac:dyDescent="0.35">
      <c r="A342">
        <v>341</v>
      </c>
      <c r="B342" s="1">
        <v>45053</v>
      </c>
      <c r="C342" s="2" t="s">
        <v>23</v>
      </c>
      <c r="D342" s="2" t="s">
        <v>369</v>
      </c>
      <c r="E342" s="2" t="s">
        <v>14</v>
      </c>
      <c r="F342">
        <v>31</v>
      </c>
      <c r="G342" s="2" t="s">
        <v>19</v>
      </c>
      <c r="H342">
        <v>4</v>
      </c>
      <c r="I342">
        <v>50</v>
      </c>
      <c r="J342">
        <v>200</v>
      </c>
      <c r="K342">
        <v>200</v>
      </c>
      <c r="L342">
        <v>2023</v>
      </c>
      <c r="M342">
        <v>222</v>
      </c>
      <c r="N342">
        <v>45042</v>
      </c>
      <c r="O342" t="str">
        <v>April</v>
      </c>
      <c r="P342" t="str">
        <v>CUST222</v>
      </c>
      <c r="Q342" t="str">
        <v>Male</v>
      </c>
      <c r="R342">
        <v>51</v>
      </c>
      <c r="S342" t="str">
        <v>Clothing</v>
      </c>
      <c r="T342">
        <v>4</v>
      </c>
      <c r="U342">
        <v>30</v>
      </c>
      <c r="V342">
        <v>120</v>
      </c>
      <c r="W342">
        <v>120</v>
      </c>
      <c r="X342">
        <v>2023</v>
      </c>
    </row>
    <row r="343" spans="1:24" x14ac:dyDescent="0.35">
      <c r="A343">
        <v>342</v>
      </c>
      <c r="B343" s="1">
        <v>45223</v>
      </c>
      <c r="C343" s="2" t="s">
        <v>33</v>
      </c>
      <c r="D343" s="2" t="s">
        <v>370</v>
      </c>
      <c r="E343" s="2" t="s">
        <v>18</v>
      </c>
      <c r="F343">
        <v>43</v>
      </c>
      <c r="G343" s="2" t="s">
        <v>19</v>
      </c>
      <c r="H343">
        <v>4</v>
      </c>
      <c r="I343">
        <v>500</v>
      </c>
      <c r="J343">
        <v>2000</v>
      </c>
      <c r="K343">
        <v>2000</v>
      </c>
      <c r="L343">
        <v>2023</v>
      </c>
      <c r="M343">
        <v>223</v>
      </c>
      <c r="N343">
        <v>44959</v>
      </c>
      <c r="O343" t="str">
        <v>February</v>
      </c>
      <c r="P343" t="str">
        <v>CUST223</v>
      </c>
      <c r="Q343" t="str">
        <v>Female</v>
      </c>
      <c r="R343">
        <v>64</v>
      </c>
      <c r="S343" t="str">
        <v>Clothing</v>
      </c>
      <c r="T343">
        <v>1</v>
      </c>
      <c r="U343">
        <v>25</v>
      </c>
      <c r="V343">
        <v>25</v>
      </c>
      <c r="W343">
        <v>25</v>
      </c>
      <c r="X343">
        <v>2023</v>
      </c>
    </row>
    <row r="344" spans="1:24" x14ac:dyDescent="0.35">
      <c r="A344">
        <v>343</v>
      </c>
      <c r="B344" s="1">
        <v>45231</v>
      </c>
      <c r="C344" s="2" t="s">
        <v>12</v>
      </c>
      <c r="D344" s="2" t="s">
        <v>371</v>
      </c>
      <c r="E344" s="2" t="s">
        <v>14</v>
      </c>
      <c r="F344">
        <v>21</v>
      </c>
      <c r="G344" s="2" t="s">
        <v>22</v>
      </c>
      <c r="H344">
        <v>2</v>
      </c>
      <c r="I344">
        <v>25</v>
      </c>
      <c r="J344">
        <v>50</v>
      </c>
      <c r="K344">
        <v>50</v>
      </c>
      <c r="L344">
        <v>2023</v>
      </c>
      <c r="M344">
        <v>224</v>
      </c>
      <c r="N344">
        <v>45100</v>
      </c>
      <c r="O344" t="str">
        <v>June</v>
      </c>
      <c r="P344" t="str">
        <v>CUST224</v>
      </c>
      <c r="Q344" t="str">
        <v>Female</v>
      </c>
      <c r="R344">
        <v>25</v>
      </c>
      <c r="S344" t="str">
        <v>Clothing</v>
      </c>
      <c r="T344">
        <v>1</v>
      </c>
      <c r="U344">
        <v>50</v>
      </c>
      <c r="V344">
        <v>50</v>
      </c>
      <c r="W344">
        <v>50</v>
      </c>
      <c r="X344">
        <v>2023</v>
      </c>
    </row>
    <row r="345" spans="1:24" x14ac:dyDescent="0.35">
      <c r="A345">
        <v>344</v>
      </c>
      <c r="B345" s="1">
        <v>44947</v>
      </c>
      <c r="C345" s="2" t="s">
        <v>20</v>
      </c>
      <c r="D345" s="2" t="s">
        <v>372</v>
      </c>
      <c r="E345" s="2" t="s">
        <v>18</v>
      </c>
      <c r="F345">
        <v>42</v>
      </c>
      <c r="G345" s="2" t="s">
        <v>15</v>
      </c>
      <c r="H345">
        <v>1</v>
      </c>
      <c r="I345">
        <v>30</v>
      </c>
      <c r="J345">
        <v>30</v>
      </c>
      <c r="K345">
        <v>30</v>
      </c>
      <c r="L345">
        <v>2023</v>
      </c>
      <c r="M345">
        <v>225</v>
      </c>
      <c r="N345">
        <v>44937</v>
      </c>
      <c r="O345" t="str">
        <v>January</v>
      </c>
      <c r="P345" t="str">
        <v>CUST225</v>
      </c>
      <c r="Q345" t="str">
        <v>Female</v>
      </c>
      <c r="R345">
        <v>57</v>
      </c>
      <c r="S345" t="str">
        <v>Beauty</v>
      </c>
      <c r="T345">
        <v>4</v>
      </c>
      <c r="U345">
        <v>25</v>
      </c>
      <c r="V345">
        <v>100</v>
      </c>
      <c r="W345">
        <v>100</v>
      </c>
      <c r="X345">
        <v>2023</v>
      </c>
    </row>
    <row r="346" spans="1:24" x14ac:dyDescent="0.35">
      <c r="A346">
        <v>345</v>
      </c>
      <c r="B346" s="1">
        <v>45244</v>
      </c>
      <c r="C346" s="2" t="s">
        <v>12</v>
      </c>
      <c r="D346" s="2" t="s">
        <v>373</v>
      </c>
      <c r="E346" s="2" t="s">
        <v>14</v>
      </c>
      <c r="F346">
        <v>62</v>
      </c>
      <c r="G346" s="2" t="s">
        <v>22</v>
      </c>
      <c r="H346">
        <v>1</v>
      </c>
      <c r="I346">
        <v>30</v>
      </c>
      <c r="J346">
        <v>30</v>
      </c>
      <c r="K346">
        <v>30</v>
      </c>
      <c r="L346">
        <v>2023</v>
      </c>
      <c r="M346">
        <v>226</v>
      </c>
      <c r="N346">
        <v>45228</v>
      </c>
      <c r="O346" t="str">
        <v>October</v>
      </c>
      <c r="P346" t="str">
        <v>CUST226</v>
      </c>
      <c r="Q346" t="str">
        <v>Female</v>
      </c>
      <c r="R346">
        <v>61</v>
      </c>
      <c r="S346" t="str">
        <v>Clothing</v>
      </c>
      <c r="T346">
        <v>1</v>
      </c>
      <c r="U346">
        <v>50</v>
      </c>
      <c r="V346">
        <v>50</v>
      </c>
      <c r="W346">
        <v>50</v>
      </c>
      <c r="X346">
        <v>2023</v>
      </c>
    </row>
    <row r="347" spans="1:24" x14ac:dyDescent="0.35">
      <c r="A347">
        <v>346</v>
      </c>
      <c r="B347" s="1">
        <v>44968</v>
      </c>
      <c r="C347" s="2" t="s">
        <v>16</v>
      </c>
      <c r="D347" s="2" t="s">
        <v>374</v>
      </c>
      <c r="E347" s="2" t="s">
        <v>14</v>
      </c>
      <c r="F347">
        <v>59</v>
      </c>
      <c r="G347" s="2" t="s">
        <v>19</v>
      </c>
      <c r="H347">
        <v>2</v>
      </c>
      <c r="I347">
        <v>500</v>
      </c>
      <c r="J347">
        <v>1000</v>
      </c>
      <c r="K347">
        <v>1000</v>
      </c>
      <c r="L347">
        <v>2023</v>
      </c>
      <c r="M347">
        <v>227</v>
      </c>
      <c r="N347">
        <v>45210</v>
      </c>
      <c r="O347" t="str">
        <v>October</v>
      </c>
      <c r="P347" t="str">
        <v>CUST227</v>
      </c>
      <c r="Q347" t="str">
        <v>Male</v>
      </c>
      <c r="R347">
        <v>36</v>
      </c>
      <c r="S347" t="str">
        <v>Electronics</v>
      </c>
      <c r="T347">
        <v>2</v>
      </c>
      <c r="U347">
        <v>50</v>
      </c>
      <c r="V347">
        <v>100</v>
      </c>
      <c r="W347">
        <v>100</v>
      </c>
      <c r="X347">
        <v>2023</v>
      </c>
    </row>
    <row r="348" spans="1:24" x14ac:dyDescent="0.35">
      <c r="A348">
        <v>347</v>
      </c>
      <c r="B348" s="1">
        <v>45141</v>
      </c>
      <c r="C348" s="2" t="s">
        <v>37</v>
      </c>
      <c r="D348" s="2" t="s">
        <v>375</v>
      </c>
      <c r="E348" s="2" t="s">
        <v>14</v>
      </c>
      <c r="F348">
        <v>42</v>
      </c>
      <c r="G348" s="2" t="s">
        <v>22</v>
      </c>
      <c r="H348">
        <v>1</v>
      </c>
      <c r="I348">
        <v>25</v>
      </c>
      <c r="J348">
        <v>25</v>
      </c>
      <c r="K348">
        <v>25</v>
      </c>
      <c r="L348">
        <v>2023</v>
      </c>
      <c r="M348">
        <v>228</v>
      </c>
      <c r="N348">
        <v>45044</v>
      </c>
      <c r="O348" t="str">
        <v>April</v>
      </c>
      <c r="P348" t="str">
        <v>CUST228</v>
      </c>
      <c r="Q348" t="str">
        <v>Female</v>
      </c>
      <c r="R348">
        <v>59</v>
      </c>
      <c r="S348" t="str">
        <v>Electronics</v>
      </c>
      <c r="T348">
        <v>2</v>
      </c>
      <c r="U348">
        <v>30</v>
      </c>
      <c r="V348">
        <v>60</v>
      </c>
      <c r="W348">
        <v>60</v>
      </c>
      <c r="X348">
        <v>2023</v>
      </c>
    </row>
    <row r="349" spans="1:24" x14ac:dyDescent="0.35">
      <c r="A349">
        <v>348</v>
      </c>
      <c r="B349" s="1">
        <v>45263</v>
      </c>
      <c r="C349" s="2" t="s">
        <v>31</v>
      </c>
      <c r="D349" s="2" t="s">
        <v>376</v>
      </c>
      <c r="E349" s="2" t="s">
        <v>18</v>
      </c>
      <c r="F349">
        <v>35</v>
      </c>
      <c r="G349" s="2" t="s">
        <v>22</v>
      </c>
      <c r="H349">
        <v>2</v>
      </c>
      <c r="I349">
        <v>300</v>
      </c>
      <c r="J349">
        <v>600</v>
      </c>
      <c r="K349">
        <v>600</v>
      </c>
      <c r="L349">
        <v>2023</v>
      </c>
      <c r="M349">
        <v>229</v>
      </c>
      <c r="N349">
        <v>45228</v>
      </c>
      <c r="O349" t="str">
        <v>October</v>
      </c>
      <c r="P349" t="str">
        <v>CUST229</v>
      </c>
      <c r="Q349" t="str">
        <v>Male</v>
      </c>
      <c r="R349">
        <v>58</v>
      </c>
      <c r="S349" t="str">
        <v>Beauty</v>
      </c>
      <c r="T349">
        <v>3</v>
      </c>
      <c r="U349">
        <v>30</v>
      </c>
      <c r="V349">
        <v>90</v>
      </c>
      <c r="W349">
        <v>90</v>
      </c>
      <c r="X349">
        <v>2023</v>
      </c>
    </row>
    <row r="350" spans="1:24" x14ac:dyDescent="0.35">
      <c r="A350">
        <v>349</v>
      </c>
      <c r="B350" s="1">
        <v>45225</v>
      </c>
      <c r="C350" s="2" t="s">
        <v>33</v>
      </c>
      <c r="D350" s="2" t="s">
        <v>377</v>
      </c>
      <c r="E350" s="2" t="s">
        <v>18</v>
      </c>
      <c r="F350">
        <v>57</v>
      </c>
      <c r="G350" s="2" t="s">
        <v>15</v>
      </c>
      <c r="H350">
        <v>1</v>
      </c>
      <c r="I350">
        <v>50</v>
      </c>
      <c r="J350">
        <v>50</v>
      </c>
      <c r="K350">
        <v>50</v>
      </c>
      <c r="L350">
        <v>2023</v>
      </c>
      <c r="M350">
        <v>230</v>
      </c>
      <c r="N350">
        <v>45039</v>
      </c>
      <c r="O350" t="str">
        <v>April</v>
      </c>
      <c r="P350" t="str">
        <v>CUST230</v>
      </c>
      <c r="Q350" t="str">
        <v>Male</v>
      </c>
      <c r="R350">
        <v>54</v>
      </c>
      <c r="S350" t="str">
        <v>Beauty</v>
      </c>
      <c r="T350">
        <v>1</v>
      </c>
      <c r="U350">
        <v>25</v>
      </c>
      <c r="V350">
        <v>25</v>
      </c>
      <c r="W350">
        <v>25</v>
      </c>
      <c r="X350">
        <v>2023</v>
      </c>
    </row>
    <row r="351" spans="1:24" x14ac:dyDescent="0.35">
      <c r="A351">
        <v>350</v>
      </c>
      <c r="B351" s="1">
        <v>45216</v>
      </c>
      <c r="C351" s="2" t="s">
        <v>33</v>
      </c>
      <c r="D351" s="2" t="s">
        <v>378</v>
      </c>
      <c r="E351" s="2" t="s">
        <v>14</v>
      </c>
      <c r="F351">
        <v>25</v>
      </c>
      <c r="G351" s="2" t="s">
        <v>15</v>
      </c>
      <c r="H351">
        <v>3</v>
      </c>
      <c r="I351">
        <v>25</v>
      </c>
      <c r="J351">
        <v>75</v>
      </c>
      <c r="K351">
        <v>75</v>
      </c>
      <c r="L351">
        <v>2023</v>
      </c>
      <c r="M351">
        <v>231</v>
      </c>
      <c r="N351">
        <v>44930</v>
      </c>
      <c r="O351" t="str">
        <v>January</v>
      </c>
      <c r="P351" t="str">
        <v>CUST231</v>
      </c>
      <c r="Q351" t="str">
        <v>Female</v>
      </c>
      <c r="R351">
        <v>23</v>
      </c>
      <c r="S351" t="str">
        <v>Clothing</v>
      </c>
      <c r="T351">
        <v>3</v>
      </c>
      <c r="U351">
        <v>50</v>
      </c>
      <c r="V351">
        <v>150</v>
      </c>
      <c r="W351">
        <v>150</v>
      </c>
      <c r="X351">
        <v>2023</v>
      </c>
    </row>
    <row r="352" spans="1:24" x14ac:dyDescent="0.35">
      <c r="A352">
        <v>351</v>
      </c>
      <c r="B352" s="1">
        <v>45194</v>
      </c>
      <c r="C352" s="2" t="s">
        <v>44</v>
      </c>
      <c r="D352" s="2" t="s">
        <v>379</v>
      </c>
      <c r="E352" s="2" t="s">
        <v>18</v>
      </c>
      <c r="F352">
        <v>56</v>
      </c>
      <c r="G352" s="2" t="s">
        <v>19</v>
      </c>
      <c r="H352">
        <v>3</v>
      </c>
      <c r="I352">
        <v>30</v>
      </c>
      <c r="J352">
        <v>90</v>
      </c>
      <c r="K352">
        <v>90</v>
      </c>
      <c r="L352">
        <v>2023</v>
      </c>
      <c r="M352">
        <v>232</v>
      </c>
      <c r="N352">
        <v>44963</v>
      </c>
      <c r="O352" t="str">
        <v>February</v>
      </c>
      <c r="P352" t="str">
        <v>CUST232</v>
      </c>
      <c r="Q352" t="str">
        <v>Female</v>
      </c>
      <c r="R352">
        <v>43</v>
      </c>
      <c r="S352" t="str">
        <v>Beauty</v>
      </c>
      <c r="T352">
        <v>1</v>
      </c>
      <c r="U352">
        <v>25</v>
      </c>
      <c r="V352">
        <v>25</v>
      </c>
      <c r="W352">
        <v>25</v>
      </c>
      <c r="X352">
        <v>2023</v>
      </c>
    </row>
    <row r="353" spans="1:24" x14ac:dyDescent="0.35">
      <c r="A353">
        <v>352</v>
      </c>
      <c r="B353" s="1">
        <v>45088</v>
      </c>
      <c r="C353" s="2" t="s">
        <v>62</v>
      </c>
      <c r="D353" s="2" t="s">
        <v>380</v>
      </c>
      <c r="E353" s="2" t="s">
        <v>14</v>
      </c>
      <c r="F353">
        <v>57</v>
      </c>
      <c r="G353" s="2" t="s">
        <v>22</v>
      </c>
      <c r="H353">
        <v>2</v>
      </c>
      <c r="I353">
        <v>500</v>
      </c>
      <c r="J353">
        <v>1000</v>
      </c>
      <c r="K353">
        <v>1000</v>
      </c>
      <c r="L353">
        <v>2023</v>
      </c>
      <c r="M353">
        <v>233</v>
      </c>
      <c r="N353">
        <v>45289</v>
      </c>
      <c r="O353" t="str">
        <v>December</v>
      </c>
      <c r="P353" t="str">
        <v>CUST233</v>
      </c>
      <c r="Q353" t="str">
        <v>Female</v>
      </c>
      <c r="R353">
        <v>51</v>
      </c>
      <c r="S353" t="str">
        <v>Beauty</v>
      </c>
      <c r="T353">
        <v>2</v>
      </c>
      <c r="U353">
        <v>300</v>
      </c>
      <c r="V353">
        <v>600</v>
      </c>
      <c r="W353">
        <v>600</v>
      </c>
      <c r="X353">
        <v>2023</v>
      </c>
    </row>
    <row r="354" spans="1:24" x14ac:dyDescent="0.35">
      <c r="A354">
        <v>353</v>
      </c>
      <c r="B354" s="1">
        <v>45060</v>
      </c>
      <c r="C354" s="2" t="s">
        <v>23</v>
      </c>
      <c r="D354" s="2" t="s">
        <v>381</v>
      </c>
      <c r="E354" s="2" t="s">
        <v>14</v>
      </c>
      <c r="F354">
        <v>31</v>
      </c>
      <c r="G354" s="2" t="s">
        <v>22</v>
      </c>
      <c r="H354">
        <v>1</v>
      </c>
      <c r="I354">
        <v>500</v>
      </c>
      <c r="J354">
        <v>500</v>
      </c>
      <c r="K354">
        <v>500</v>
      </c>
      <c r="L354">
        <v>2023</v>
      </c>
      <c r="M354">
        <v>234</v>
      </c>
      <c r="N354">
        <v>45250</v>
      </c>
      <c r="O354" t="str">
        <v>November</v>
      </c>
      <c r="P354" t="str">
        <v>CUST234</v>
      </c>
      <c r="Q354" t="str">
        <v>Female</v>
      </c>
      <c r="R354">
        <v>62</v>
      </c>
      <c r="S354" t="str">
        <v>Electronics</v>
      </c>
      <c r="T354">
        <v>2</v>
      </c>
      <c r="U354">
        <v>25</v>
      </c>
      <c r="V354">
        <v>50</v>
      </c>
      <c r="W354">
        <v>50</v>
      </c>
      <c r="X354">
        <v>2023</v>
      </c>
    </row>
    <row r="355" spans="1:24" x14ac:dyDescent="0.35">
      <c r="A355">
        <v>354</v>
      </c>
      <c r="B355" s="1">
        <v>45031</v>
      </c>
      <c r="C355" s="2" t="s">
        <v>26</v>
      </c>
      <c r="D355" s="2" t="s">
        <v>382</v>
      </c>
      <c r="E355" s="2" t="s">
        <v>18</v>
      </c>
      <c r="F355">
        <v>49</v>
      </c>
      <c r="G355" s="2" t="s">
        <v>15</v>
      </c>
      <c r="H355">
        <v>4</v>
      </c>
      <c r="I355">
        <v>50</v>
      </c>
      <c r="J355">
        <v>200</v>
      </c>
      <c r="K355">
        <v>200</v>
      </c>
      <c r="L355">
        <v>2023</v>
      </c>
      <c r="M355">
        <v>235</v>
      </c>
      <c r="N355">
        <v>44957</v>
      </c>
      <c r="O355" t="str">
        <v>January</v>
      </c>
      <c r="P355" t="str">
        <v>CUST235</v>
      </c>
      <c r="Q355" t="str">
        <v>Female</v>
      </c>
      <c r="R355">
        <v>23</v>
      </c>
      <c r="S355" t="str">
        <v>Electronics</v>
      </c>
      <c r="T355">
        <v>2</v>
      </c>
      <c r="U355">
        <v>500</v>
      </c>
      <c r="V355">
        <v>1000</v>
      </c>
      <c r="W355">
        <v>1000</v>
      </c>
      <c r="X355">
        <v>2023</v>
      </c>
    </row>
    <row r="356" spans="1:24" x14ac:dyDescent="0.35">
      <c r="A356">
        <v>355</v>
      </c>
      <c r="B356" s="1">
        <v>45269</v>
      </c>
      <c r="C356" s="2" t="s">
        <v>31</v>
      </c>
      <c r="D356" s="2" t="s">
        <v>383</v>
      </c>
      <c r="E356" s="2" t="s">
        <v>18</v>
      </c>
      <c r="F356">
        <v>55</v>
      </c>
      <c r="G356" s="2" t="s">
        <v>22</v>
      </c>
      <c r="H356">
        <v>1</v>
      </c>
      <c r="I356">
        <v>500</v>
      </c>
      <c r="J356">
        <v>500</v>
      </c>
      <c r="K356">
        <v>500</v>
      </c>
      <c r="L356">
        <v>2023</v>
      </c>
      <c r="M356">
        <v>236</v>
      </c>
      <c r="N356">
        <v>45044</v>
      </c>
      <c r="O356" t="str">
        <v>April</v>
      </c>
      <c r="P356" t="str">
        <v>CUST236</v>
      </c>
      <c r="Q356" t="str">
        <v>Female</v>
      </c>
      <c r="R356">
        <v>54</v>
      </c>
      <c r="S356" t="str">
        <v>Clothing</v>
      </c>
      <c r="T356">
        <v>1</v>
      </c>
      <c r="U356">
        <v>25</v>
      </c>
      <c r="V356">
        <v>25</v>
      </c>
      <c r="W356">
        <v>25</v>
      </c>
      <c r="X356">
        <v>2023</v>
      </c>
    </row>
    <row r="357" spans="1:24" x14ac:dyDescent="0.35">
      <c r="A357">
        <v>356</v>
      </c>
      <c r="B357" s="1">
        <v>45087</v>
      </c>
      <c r="C357" s="2" t="s">
        <v>62</v>
      </c>
      <c r="D357" s="2" t="s">
        <v>384</v>
      </c>
      <c r="E357" s="2" t="s">
        <v>14</v>
      </c>
      <c r="F357">
        <v>50</v>
      </c>
      <c r="G357" s="2" t="s">
        <v>22</v>
      </c>
      <c r="H357">
        <v>3</v>
      </c>
      <c r="I357">
        <v>500</v>
      </c>
      <c r="J357">
        <v>1500</v>
      </c>
      <c r="K357">
        <v>1500</v>
      </c>
      <c r="L357">
        <v>2023</v>
      </c>
      <c r="M357">
        <v>237</v>
      </c>
      <c r="N357">
        <v>44961</v>
      </c>
      <c r="O357" t="str">
        <v>February</v>
      </c>
      <c r="P357" t="str">
        <v>CUST237</v>
      </c>
      <c r="Q357" t="str">
        <v>Female</v>
      </c>
      <c r="R357">
        <v>50</v>
      </c>
      <c r="S357" t="str">
        <v>Beauty</v>
      </c>
      <c r="T357">
        <v>2</v>
      </c>
      <c r="U357">
        <v>500</v>
      </c>
      <c r="V357">
        <v>1000</v>
      </c>
      <c r="W357">
        <v>1000</v>
      </c>
      <c r="X357">
        <v>2023</v>
      </c>
    </row>
    <row r="358" spans="1:24" x14ac:dyDescent="0.35">
      <c r="A358">
        <v>357</v>
      </c>
      <c r="B358" s="1">
        <v>45049</v>
      </c>
      <c r="C358" s="2" t="s">
        <v>23</v>
      </c>
      <c r="D358" s="2" t="s">
        <v>385</v>
      </c>
      <c r="E358" s="2" t="s">
        <v>18</v>
      </c>
      <c r="F358">
        <v>40</v>
      </c>
      <c r="G358" s="2" t="s">
        <v>22</v>
      </c>
      <c r="H358">
        <v>3</v>
      </c>
      <c r="I358">
        <v>25</v>
      </c>
      <c r="J358">
        <v>75</v>
      </c>
      <c r="K358">
        <v>75</v>
      </c>
      <c r="L358">
        <v>2023</v>
      </c>
      <c r="M358">
        <v>238</v>
      </c>
      <c r="N358">
        <v>44943</v>
      </c>
      <c r="O358" t="str">
        <v>January</v>
      </c>
      <c r="P358" t="str">
        <v>CUST238</v>
      </c>
      <c r="Q358" t="str">
        <v>Female</v>
      </c>
      <c r="R358">
        <v>39</v>
      </c>
      <c r="S358" t="str">
        <v>Beauty</v>
      </c>
      <c r="T358">
        <v>1</v>
      </c>
      <c r="U358">
        <v>500</v>
      </c>
      <c r="V358">
        <v>500</v>
      </c>
      <c r="W358">
        <v>500</v>
      </c>
      <c r="X358">
        <v>2023</v>
      </c>
    </row>
    <row r="359" spans="1:24" x14ac:dyDescent="0.35">
      <c r="A359">
        <v>358</v>
      </c>
      <c r="B359" s="1">
        <v>45062</v>
      </c>
      <c r="C359" s="2" t="s">
        <v>23</v>
      </c>
      <c r="D359" s="2" t="s">
        <v>386</v>
      </c>
      <c r="E359" s="2" t="s">
        <v>18</v>
      </c>
      <c r="F359">
        <v>32</v>
      </c>
      <c r="G359" s="2" t="s">
        <v>15</v>
      </c>
      <c r="H359">
        <v>1</v>
      </c>
      <c r="I359">
        <v>300</v>
      </c>
      <c r="J359">
        <v>300</v>
      </c>
      <c r="K359">
        <v>300</v>
      </c>
      <c r="L359">
        <v>2023</v>
      </c>
      <c r="M359">
        <v>239</v>
      </c>
      <c r="N359">
        <v>45096</v>
      </c>
      <c r="O359" t="str">
        <v>June</v>
      </c>
      <c r="P359" t="str">
        <v>CUST239</v>
      </c>
      <c r="Q359" t="str">
        <v>Male</v>
      </c>
      <c r="R359">
        <v>38</v>
      </c>
      <c r="S359" t="str">
        <v>Electronics</v>
      </c>
      <c r="T359">
        <v>3</v>
      </c>
      <c r="U359">
        <v>500</v>
      </c>
      <c r="V359">
        <v>1500</v>
      </c>
      <c r="W359">
        <v>1500</v>
      </c>
      <c r="X359">
        <v>2023</v>
      </c>
    </row>
    <row r="360" spans="1:24" x14ac:dyDescent="0.35">
      <c r="A360">
        <v>359</v>
      </c>
      <c r="B360" s="1">
        <v>45129</v>
      </c>
      <c r="C360" s="2" t="s">
        <v>70</v>
      </c>
      <c r="D360" s="2" t="s">
        <v>387</v>
      </c>
      <c r="E360" s="2" t="s">
        <v>14</v>
      </c>
      <c r="F360">
        <v>50</v>
      </c>
      <c r="G360" s="2" t="s">
        <v>19</v>
      </c>
      <c r="H360">
        <v>1</v>
      </c>
      <c r="I360">
        <v>50</v>
      </c>
      <c r="J360">
        <v>50</v>
      </c>
      <c r="K360">
        <v>50</v>
      </c>
      <c r="L360">
        <v>2023</v>
      </c>
      <c r="M360">
        <v>240</v>
      </c>
      <c r="N360">
        <v>44963</v>
      </c>
      <c r="O360" t="str">
        <v>February</v>
      </c>
      <c r="P360" t="str">
        <v>CUST240</v>
      </c>
      <c r="Q360" t="str">
        <v>Female</v>
      </c>
      <c r="R360">
        <v>23</v>
      </c>
      <c r="S360" t="str">
        <v>Beauty</v>
      </c>
      <c r="T360">
        <v>1</v>
      </c>
      <c r="U360">
        <v>300</v>
      </c>
      <c r="V360">
        <v>300</v>
      </c>
      <c r="W360">
        <v>300</v>
      </c>
      <c r="X360">
        <v>2023</v>
      </c>
    </row>
    <row r="361" spans="1:24" x14ac:dyDescent="0.35">
      <c r="A361">
        <v>360</v>
      </c>
      <c r="B361" s="1">
        <v>44994</v>
      </c>
      <c r="C361" s="2" t="s">
        <v>28</v>
      </c>
      <c r="D361" s="2" t="s">
        <v>388</v>
      </c>
      <c r="E361" s="2" t="s">
        <v>14</v>
      </c>
      <c r="F361">
        <v>42</v>
      </c>
      <c r="G361" s="2" t="s">
        <v>19</v>
      </c>
      <c r="H361">
        <v>4</v>
      </c>
      <c r="I361">
        <v>25</v>
      </c>
      <c r="J361">
        <v>100</v>
      </c>
      <c r="K361">
        <v>100</v>
      </c>
      <c r="L361">
        <v>2023</v>
      </c>
      <c r="M361">
        <v>241</v>
      </c>
      <c r="N361">
        <v>45190</v>
      </c>
      <c r="O361" t="str">
        <v>September</v>
      </c>
      <c r="P361" t="str">
        <v>CUST241</v>
      </c>
      <c r="Q361" t="str">
        <v>Female</v>
      </c>
      <c r="R361">
        <v>23</v>
      </c>
      <c r="S361" t="str">
        <v>Electronics</v>
      </c>
      <c r="T361">
        <v>3</v>
      </c>
      <c r="U361">
        <v>25</v>
      </c>
      <c r="V361">
        <v>75</v>
      </c>
      <c r="W361">
        <v>75</v>
      </c>
      <c r="X361">
        <v>2023</v>
      </c>
    </row>
    <row r="362" spans="1:24" x14ac:dyDescent="0.35">
      <c r="A362">
        <v>361</v>
      </c>
      <c r="B362" s="1">
        <v>45270</v>
      </c>
      <c r="C362" s="2" t="s">
        <v>31</v>
      </c>
      <c r="D362" s="2" t="s">
        <v>389</v>
      </c>
      <c r="E362" s="2" t="s">
        <v>18</v>
      </c>
      <c r="F362">
        <v>34</v>
      </c>
      <c r="G362" s="2" t="s">
        <v>22</v>
      </c>
      <c r="H362">
        <v>4</v>
      </c>
      <c r="I362">
        <v>300</v>
      </c>
      <c r="J362">
        <v>1200</v>
      </c>
      <c r="K362">
        <v>1200</v>
      </c>
      <c r="L362">
        <v>2023</v>
      </c>
      <c r="M362">
        <v>242</v>
      </c>
      <c r="N362">
        <v>45048</v>
      </c>
      <c r="O362" t="str">
        <v>May</v>
      </c>
      <c r="P362" t="str">
        <v>CUST242</v>
      </c>
      <c r="Q362" t="str">
        <v>Male</v>
      </c>
      <c r="R362">
        <v>21</v>
      </c>
      <c r="S362" t="str">
        <v>Clothing</v>
      </c>
      <c r="T362">
        <v>1</v>
      </c>
      <c r="U362">
        <v>25</v>
      </c>
      <c r="V362">
        <v>25</v>
      </c>
      <c r="W362">
        <v>25</v>
      </c>
      <c r="X362">
        <v>2023</v>
      </c>
    </row>
    <row r="363" spans="1:24" x14ac:dyDescent="0.35">
      <c r="A363">
        <v>362</v>
      </c>
      <c r="B363" s="1">
        <v>45257</v>
      </c>
      <c r="C363" s="2" t="s">
        <v>12</v>
      </c>
      <c r="D363" s="2" t="s">
        <v>390</v>
      </c>
      <c r="E363" s="2" t="s">
        <v>14</v>
      </c>
      <c r="F363">
        <v>50</v>
      </c>
      <c r="G363" s="2" t="s">
        <v>19</v>
      </c>
      <c r="H363">
        <v>1</v>
      </c>
      <c r="I363">
        <v>25</v>
      </c>
      <c r="J363">
        <v>25</v>
      </c>
      <c r="K363">
        <v>25</v>
      </c>
      <c r="L363">
        <v>2023</v>
      </c>
      <c r="M363">
        <v>243</v>
      </c>
      <c r="N363">
        <v>45069</v>
      </c>
      <c r="O363" t="str">
        <v>May</v>
      </c>
      <c r="P363" t="str">
        <v>CUST243</v>
      </c>
      <c r="Q363" t="str">
        <v>Female</v>
      </c>
      <c r="R363">
        <v>47</v>
      </c>
      <c r="S363" t="str">
        <v>Electronics</v>
      </c>
      <c r="T363">
        <v>3</v>
      </c>
      <c r="U363">
        <v>300</v>
      </c>
      <c r="V363">
        <v>900</v>
      </c>
      <c r="W363">
        <v>900</v>
      </c>
      <c r="X363">
        <v>2023</v>
      </c>
    </row>
    <row r="364" spans="1:24" x14ac:dyDescent="0.35">
      <c r="A364">
        <v>363</v>
      </c>
      <c r="B364" s="1">
        <v>45080</v>
      </c>
      <c r="C364" s="2" t="s">
        <v>62</v>
      </c>
      <c r="D364" s="2" t="s">
        <v>391</v>
      </c>
      <c r="E364" s="2" t="s">
        <v>14</v>
      </c>
      <c r="F364">
        <v>64</v>
      </c>
      <c r="G364" s="2" t="s">
        <v>15</v>
      </c>
      <c r="H364">
        <v>1</v>
      </c>
      <c r="I364">
        <v>25</v>
      </c>
      <c r="J364">
        <v>25</v>
      </c>
      <c r="K364">
        <v>25</v>
      </c>
      <c r="L364">
        <v>2023</v>
      </c>
      <c r="M364">
        <v>244</v>
      </c>
      <c r="N364">
        <v>45269</v>
      </c>
      <c r="O364" t="str">
        <v>December</v>
      </c>
      <c r="P364" t="str">
        <v>CUST244</v>
      </c>
      <c r="Q364" t="str">
        <v>Male</v>
      </c>
      <c r="R364">
        <v>28</v>
      </c>
      <c r="S364" t="str">
        <v>Beauty</v>
      </c>
      <c r="T364">
        <v>2</v>
      </c>
      <c r="U364">
        <v>50</v>
      </c>
      <c r="V364">
        <v>100</v>
      </c>
      <c r="W364">
        <v>100</v>
      </c>
      <c r="X364">
        <v>2023</v>
      </c>
    </row>
    <row r="365" spans="1:24" x14ac:dyDescent="0.35">
      <c r="A365">
        <v>364</v>
      </c>
      <c r="B365" s="1">
        <v>45161</v>
      </c>
      <c r="C365" s="2" t="s">
        <v>37</v>
      </c>
      <c r="D365" s="2" t="s">
        <v>392</v>
      </c>
      <c r="E365" s="2" t="s">
        <v>18</v>
      </c>
      <c r="F365">
        <v>19</v>
      </c>
      <c r="G365" s="2" t="s">
        <v>15</v>
      </c>
      <c r="H365">
        <v>1</v>
      </c>
      <c r="I365">
        <v>500</v>
      </c>
      <c r="J365">
        <v>500</v>
      </c>
      <c r="K365">
        <v>500</v>
      </c>
      <c r="L365">
        <v>2023</v>
      </c>
      <c r="M365">
        <v>245</v>
      </c>
      <c r="N365">
        <v>45175</v>
      </c>
      <c r="O365" t="str">
        <v>September</v>
      </c>
      <c r="P365" t="str">
        <v>CUST245</v>
      </c>
      <c r="Q365" t="str">
        <v>Male</v>
      </c>
      <c r="R365">
        <v>47</v>
      </c>
      <c r="S365" t="str">
        <v>Clothing</v>
      </c>
      <c r="T365">
        <v>3</v>
      </c>
      <c r="U365">
        <v>30</v>
      </c>
      <c r="V365">
        <v>90</v>
      </c>
      <c r="W365">
        <v>90</v>
      </c>
      <c r="X365">
        <v>2023</v>
      </c>
    </row>
    <row r="366" spans="1:24" x14ac:dyDescent="0.35">
      <c r="A366">
        <v>365</v>
      </c>
      <c r="B366" s="1">
        <v>45088</v>
      </c>
      <c r="C366" s="2" t="s">
        <v>62</v>
      </c>
      <c r="D366" s="2" t="s">
        <v>393</v>
      </c>
      <c r="E366" s="2" t="s">
        <v>14</v>
      </c>
      <c r="F366">
        <v>31</v>
      </c>
      <c r="G366" s="2" t="s">
        <v>19</v>
      </c>
      <c r="H366">
        <v>1</v>
      </c>
      <c r="I366">
        <v>300</v>
      </c>
      <c r="J366">
        <v>300</v>
      </c>
      <c r="K366">
        <v>300</v>
      </c>
      <c r="L366">
        <v>2023</v>
      </c>
      <c r="M366">
        <v>246</v>
      </c>
      <c r="N366">
        <v>45036</v>
      </c>
      <c r="O366" t="str">
        <v>April</v>
      </c>
      <c r="P366" t="str">
        <v>CUST246</v>
      </c>
      <c r="Q366" t="str">
        <v>Female</v>
      </c>
      <c r="R366">
        <v>48</v>
      </c>
      <c r="S366" t="str">
        <v>Electronics</v>
      </c>
      <c r="T366">
        <v>2</v>
      </c>
      <c r="U366">
        <v>25</v>
      </c>
      <c r="V366">
        <v>50</v>
      </c>
      <c r="W366">
        <v>50</v>
      </c>
      <c r="X366">
        <v>2023</v>
      </c>
    </row>
    <row r="367" spans="1:24" x14ac:dyDescent="0.35">
      <c r="A367">
        <v>366</v>
      </c>
      <c r="B367" s="1">
        <v>44964</v>
      </c>
      <c r="C367" s="2" t="s">
        <v>16</v>
      </c>
      <c r="D367" s="2" t="s">
        <v>394</v>
      </c>
      <c r="E367" s="2" t="s">
        <v>14</v>
      </c>
      <c r="F367">
        <v>57</v>
      </c>
      <c r="G367" s="2" t="s">
        <v>19</v>
      </c>
      <c r="H367">
        <v>2</v>
      </c>
      <c r="I367">
        <v>50</v>
      </c>
      <c r="J367">
        <v>100</v>
      </c>
      <c r="K367">
        <v>100</v>
      </c>
      <c r="L367">
        <v>2023</v>
      </c>
      <c r="M367">
        <v>247</v>
      </c>
      <c r="N367">
        <v>45203</v>
      </c>
      <c r="O367" t="str">
        <v>October</v>
      </c>
      <c r="P367" t="str">
        <v>CUST247</v>
      </c>
      <c r="Q367" t="str">
        <v>Male</v>
      </c>
      <c r="R367">
        <v>41</v>
      </c>
      <c r="S367" t="str">
        <v>Electronics</v>
      </c>
      <c r="T367">
        <v>2</v>
      </c>
      <c r="U367">
        <v>30</v>
      </c>
      <c r="V367">
        <v>60</v>
      </c>
      <c r="W367">
        <v>60</v>
      </c>
      <c r="X367">
        <v>2023</v>
      </c>
    </row>
    <row r="368" spans="1:24" x14ac:dyDescent="0.35">
      <c r="A368">
        <v>367</v>
      </c>
      <c r="B368" s="1">
        <v>44931</v>
      </c>
      <c r="C368" s="2" t="s">
        <v>20</v>
      </c>
      <c r="D368" s="2" t="s">
        <v>395</v>
      </c>
      <c r="E368" s="2" t="s">
        <v>18</v>
      </c>
      <c r="F368">
        <v>57</v>
      </c>
      <c r="G368" s="2" t="s">
        <v>22</v>
      </c>
      <c r="H368">
        <v>1</v>
      </c>
      <c r="I368">
        <v>50</v>
      </c>
      <c r="J368">
        <v>50</v>
      </c>
      <c r="K368">
        <v>50</v>
      </c>
      <c r="L368">
        <v>2023</v>
      </c>
      <c r="M368">
        <v>248</v>
      </c>
      <c r="N368">
        <v>44994</v>
      </c>
      <c r="O368" t="str">
        <v>March</v>
      </c>
      <c r="P368" t="str">
        <v>CUST248</v>
      </c>
      <c r="Q368" t="str">
        <v>Male</v>
      </c>
      <c r="R368">
        <v>26</v>
      </c>
      <c r="S368" t="str">
        <v>Clothing</v>
      </c>
      <c r="T368">
        <v>3</v>
      </c>
      <c r="U368">
        <v>300</v>
      </c>
      <c r="V368">
        <v>900</v>
      </c>
      <c r="W368">
        <v>900</v>
      </c>
      <c r="X368">
        <v>2023</v>
      </c>
    </row>
    <row r="369" spans="1:24" x14ac:dyDescent="0.35">
      <c r="A369">
        <v>368</v>
      </c>
      <c r="B369" s="1">
        <v>45161</v>
      </c>
      <c r="C369" s="2" t="s">
        <v>37</v>
      </c>
      <c r="D369" s="2" t="s">
        <v>396</v>
      </c>
      <c r="E369" s="2" t="s">
        <v>18</v>
      </c>
      <c r="F369">
        <v>56</v>
      </c>
      <c r="G369" s="2" t="s">
        <v>19</v>
      </c>
      <c r="H369">
        <v>4</v>
      </c>
      <c r="I369">
        <v>300</v>
      </c>
      <c r="J369">
        <v>1200</v>
      </c>
      <c r="K369">
        <v>1200</v>
      </c>
      <c r="L369">
        <v>2023</v>
      </c>
      <c r="M369">
        <v>249</v>
      </c>
      <c r="N369">
        <v>45219</v>
      </c>
      <c r="O369" t="str">
        <v>October</v>
      </c>
      <c r="P369" t="str">
        <v>CUST249</v>
      </c>
      <c r="Q369" t="str">
        <v>Male</v>
      </c>
      <c r="R369">
        <v>20</v>
      </c>
      <c r="S369" t="str">
        <v>Clothing</v>
      </c>
      <c r="T369">
        <v>1</v>
      </c>
      <c r="U369">
        <v>50</v>
      </c>
      <c r="V369">
        <v>50</v>
      </c>
      <c r="W369">
        <v>50</v>
      </c>
      <c r="X369">
        <v>2023</v>
      </c>
    </row>
    <row r="370" spans="1:24" x14ac:dyDescent="0.35">
      <c r="A370">
        <v>369</v>
      </c>
      <c r="B370" s="1">
        <v>45245</v>
      </c>
      <c r="C370" s="2" t="s">
        <v>12</v>
      </c>
      <c r="D370" s="2" t="s">
        <v>397</v>
      </c>
      <c r="E370" s="2" t="s">
        <v>14</v>
      </c>
      <c r="F370">
        <v>23</v>
      </c>
      <c r="G370" s="2" t="s">
        <v>22</v>
      </c>
      <c r="H370">
        <v>3</v>
      </c>
      <c r="I370">
        <v>500</v>
      </c>
      <c r="J370">
        <v>1500</v>
      </c>
      <c r="K370">
        <v>1500</v>
      </c>
      <c r="L370">
        <v>2023</v>
      </c>
      <c r="M370">
        <v>250</v>
      </c>
      <c r="N370">
        <v>45222</v>
      </c>
      <c r="O370" t="str">
        <v>October</v>
      </c>
      <c r="P370" t="str">
        <v>CUST250</v>
      </c>
      <c r="Q370" t="str">
        <v>Male</v>
      </c>
      <c r="R370">
        <v>48</v>
      </c>
      <c r="S370" t="str">
        <v>Electronics</v>
      </c>
      <c r="T370">
        <v>1</v>
      </c>
      <c r="U370">
        <v>50</v>
      </c>
      <c r="V370">
        <v>50</v>
      </c>
      <c r="W370">
        <v>50</v>
      </c>
      <c r="X370">
        <v>2023</v>
      </c>
    </row>
    <row r="371" spans="1:24" x14ac:dyDescent="0.35">
      <c r="A371">
        <v>370</v>
      </c>
      <c r="B371" s="1">
        <v>45215</v>
      </c>
      <c r="C371" s="2" t="s">
        <v>33</v>
      </c>
      <c r="D371" s="2" t="s">
        <v>398</v>
      </c>
      <c r="E371" s="2" t="s">
        <v>14</v>
      </c>
      <c r="F371">
        <v>23</v>
      </c>
      <c r="G371" s="2" t="s">
        <v>22</v>
      </c>
      <c r="H371">
        <v>2</v>
      </c>
      <c r="I371">
        <v>30</v>
      </c>
      <c r="J371">
        <v>60</v>
      </c>
      <c r="K371">
        <v>60</v>
      </c>
      <c r="L371">
        <v>2023</v>
      </c>
      <c r="M371">
        <v>251</v>
      </c>
      <c r="N371">
        <v>45169</v>
      </c>
      <c r="O371" t="str">
        <v>August</v>
      </c>
      <c r="P371" t="str">
        <v>CUST251</v>
      </c>
      <c r="Q371" t="str">
        <v>Female</v>
      </c>
      <c r="R371">
        <v>57</v>
      </c>
      <c r="S371" t="str">
        <v>Beauty</v>
      </c>
      <c r="T371">
        <v>4</v>
      </c>
      <c r="U371">
        <v>50</v>
      </c>
      <c r="V371">
        <v>200</v>
      </c>
      <c r="W371">
        <v>200</v>
      </c>
      <c r="X371">
        <v>2023</v>
      </c>
    </row>
    <row r="372" spans="1:24" x14ac:dyDescent="0.35">
      <c r="A372">
        <v>371</v>
      </c>
      <c r="B372" s="1">
        <v>44978</v>
      </c>
      <c r="C372" s="2" t="s">
        <v>16</v>
      </c>
      <c r="D372" s="2" t="s">
        <v>399</v>
      </c>
      <c r="E372" s="2" t="s">
        <v>18</v>
      </c>
      <c r="F372">
        <v>20</v>
      </c>
      <c r="G372" s="2" t="s">
        <v>15</v>
      </c>
      <c r="H372">
        <v>1</v>
      </c>
      <c r="I372">
        <v>25</v>
      </c>
      <c r="J372">
        <v>25</v>
      </c>
      <c r="K372">
        <v>25</v>
      </c>
      <c r="L372">
        <v>2023</v>
      </c>
      <c r="M372">
        <v>252</v>
      </c>
      <c r="N372">
        <v>45051</v>
      </c>
      <c r="O372" t="str">
        <v>May</v>
      </c>
      <c r="P372" t="str">
        <v>CUST252</v>
      </c>
      <c r="Q372" t="str">
        <v>Male</v>
      </c>
      <c r="R372">
        <v>54</v>
      </c>
      <c r="S372" t="str">
        <v>Electronics</v>
      </c>
      <c r="T372">
        <v>1</v>
      </c>
      <c r="U372">
        <v>300</v>
      </c>
      <c r="V372">
        <v>300</v>
      </c>
      <c r="W372">
        <v>300</v>
      </c>
      <c r="X372">
        <v>2023</v>
      </c>
    </row>
    <row r="373" spans="1:24" x14ac:dyDescent="0.35">
      <c r="A373">
        <v>372</v>
      </c>
      <c r="B373" s="1">
        <v>44964</v>
      </c>
      <c r="C373" s="2" t="s">
        <v>16</v>
      </c>
      <c r="D373" s="2" t="s">
        <v>400</v>
      </c>
      <c r="E373" s="2" t="s">
        <v>18</v>
      </c>
      <c r="F373">
        <v>24</v>
      </c>
      <c r="G373" s="2" t="s">
        <v>15</v>
      </c>
      <c r="H373">
        <v>3</v>
      </c>
      <c r="I373">
        <v>500</v>
      </c>
      <c r="J373">
        <v>1500</v>
      </c>
      <c r="K373">
        <v>1500</v>
      </c>
      <c r="L373">
        <v>2023</v>
      </c>
      <c r="M373">
        <v>253</v>
      </c>
      <c r="N373">
        <v>45169</v>
      </c>
      <c r="O373" t="str">
        <v>August</v>
      </c>
      <c r="P373" t="str">
        <v>CUST253</v>
      </c>
      <c r="Q373" t="str">
        <v>Female</v>
      </c>
      <c r="R373">
        <v>53</v>
      </c>
      <c r="S373" t="str">
        <v>Clothing</v>
      </c>
      <c r="T373">
        <v>4</v>
      </c>
      <c r="U373">
        <v>500</v>
      </c>
      <c r="V373">
        <v>2000</v>
      </c>
      <c r="W373">
        <v>2000</v>
      </c>
      <c r="X373">
        <v>2023</v>
      </c>
    </row>
    <row r="374" spans="1:24" x14ac:dyDescent="0.35">
      <c r="A374">
        <v>373</v>
      </c>
      <c r="B374" s="1">
        <v>45202</v>
      </c>
      <c r="C374" s="2" t="s">
        <v>33</v>
      </c>
      <c r="D374" s="2" t="s">
        <v>401</v>
      </c>
      <c r="E374" s="2" t="s">
        <v>18</v>
      </c>
      <c r="F374">
        <v>25</v>
      </c>
      <c r="G374" s="2" t="s">
        <v>15</v>
      </c>
      <c r="H374">
        <v>2</v>
      </c>
      <c r="I374">
        <v>300</v>
      </c>
      <c r="J374">
        <v>600</v>
      </c>
      <c r="K374">
        <v>600</v>
      </c>
      <c r="L374">
        <v>2023</v>
      </c>
      <c r="M374">
        <v>254</v>
      </c>
      <c r="N374">
        <v>45135</v>
      </c>
      <c r="O374" t="str">
        <v>July</v>
      </c>
      <c r="P374" t="str">
        <v>CUST254</v>
      </c>
      <c r="Q374" t="str">
        <v>Male</v>
      </c>
      <c r="R374">
        <v>41</v>
      </c>
      <c r="S374" t="str">
        <v>Electronics</v>
      </c>
      <c r="T374">
        <v>1</v>
      </c>
      <c r="U374">
        <v>500</v>
      </c>
      <c r="V374">
        <v>500</v>
      </c>
      <c r="W374">
        <v>500</v>
      </c>
      <c r="X374">
        <v>2023</v>
      </c>
    </row>
    <row r="375" spans="1:24" x14ac:dyDescent="0.35">
      <c r="A375">
        <v>374</v>
      </c>
      <c r="B375" s="1">
        <v>45036</v>
      </c>
      <c r="C375" s="2" t="s">
        <v>26</v>
      </c>
      <c r="D375" s="2" t="s">
        <v>402</v>
      </c>
      <c r="E375" s="2" t="s">
        <v>18</v>
      </c>
      <c r="F375">
        <v>59</v>
      </c>
      <c r="G375" s="2" t="s">
        <v>15</v>
      </c>
      <c r="H375">
        <v>3</v>
      </c>
      <c r="I375">
        <v>25</v>
      </c>
      <c r="J375">
        <v>75</v>
      </c>
      <c r="K375">
        <v>75</v>
      </c>
      <c r="L375">
        <v>2023</v>
      </c>
      <c r="M375">
        <v>255</v>
      </c>
      <c r="N375">
        <v>45024</v>
      </c>
      <c r="O375" t="str">
        <v>April</v>
      </c>
      <c r="P375" t="str">
        <v>CUST255</v>
      </c>
      <c r="Q375" t="str">
        <v>Male</v>
      </c>
      <c r="R375">
        <v>48</v>
      </c>
      <c r="S375" t="str">
        <v>Clothing</v>
      </c>
      <c r="T375">
        <v>1</v>
      </c>
      <c r="U375">
        <v>30</v>
      </c>
      <c r="V375">
        <v>30</v>
      </c>
      <c r="W375">
        <v>30</v>
      </c>
      <c r="X375">
        <v>2023</v>
      </c>
    </row>
    <row r="376" spans="1:24" x14ac:dyDescent="0.35">
      <c r="A376">
        <v>375</v>
      </c>
      <c r="B376" s="1">
        <v>45186</v>
      </c>
      <c r="C376" s="2" t="s">
        <v>44</v>
      </c>
      <c r="D376" s="2" t="s">
        <v>403</v>
      </c>
      <c r="E376" s="2" t="s">
        <v>14</v>
      </c>
      <c r="F376">
        <v>32</v>
      </c>
      <c r="G376" s="2" t="s">
        <v>19</v>
      </c>
      <c r="H376">
        <v>1</v>
      </c>
      <c r="I376">
        <v>50</v>
      </c>
      <c r="J376">
        <v>50</v>
      </c>
      <c r="K376">
        <v>50</v>
      </c>
      <c r="L376">
        <v>2023</v>
      </c>
      <c r="M376">
        <v>256</v>
      </c>
      <c r="N376">
        <v>44975</v>
      </c>
      <c r="O376" t="str">
        <v>February</v>
      </c>
      <c r="P376" t="str">
        <v>CUST256</v>
      </c>
      <c r="Q376" t="str">
        <v>Male</v>
      </c>
      <c r="R376">
        <v>23</v>
      </c>
      <c r="S376" t="str">
        <v>Clothing</v>
      </c>
      <c r="T376">
        <v>2</v>
      </c>
      <c r="U376">
        <v>500</v>
      </c>
      <c r="V376">
        <v>1000</v>
      </c>
      <c r="W376">
        <v>1000</v>
      </c>
      <c r="X376">
        <v>2023</v>
      </c>
    </row>
    <row r="377" spans="1:24" x14ac:dyDescent="0.35">
      <c r="A377">
        <v>376</v>
      </c>
      <c r="B377" s="1">
        <v>45062</v>
      </c>
      <c r="C377" s="2" t="s">
        <v>23</v>
      </c>
      <c r="D377" s="2" t="s">
        <v>404</v>
      </c>
      <c r="E377" s="2" t="s">
        <v>18</v>
      </c>
      <c r="F377">
        <v>64</v>
      </c>
      <c r="G377" s="2" t="s">
        <v>15</v>
      </c>
      <c r="H377">
        <v>1</v>
      </c>
      <c r="I377">
        <v>30</v>
      </c>
      <c r="J377">
        <v>30</v>
      </c>
      <c r="K377">
        <v>30</v>
      </c>
      <c r="L377">
        <v>2023</v>
      </c>
      <c r="M377">
        <v>257</v>
      </c>
      <c r="N377">
        <v>44976</v>
      </c>
      <c r="O377" t="str">
        <v>February</v>
      </c>
      <c r="P377" t="str">
        <v>CUST257</v>
      </c>
      <c r="Q377" t="str">
        <v>Male</v>
      </c>
      <c r="R377">
        <v>19</v>
      </c>
      <c r="S377" t="str">
        <v>Beauty</v>
      </c>
      <c r="T377">
        <v>4</v>
      </c>
      <c r="U377">
        <v>500</v>
      </c>
      <c r="V377">
        <v>2000</v>
      </c>
      <c r="W377">
        <v>2000</v>
      </c>
      <c r="X377">
        <v>2023</v>
      </c>
    </row>
    <row r="378" spans="1:24" x14ac:dyDescent="0.35">
      <c r="A378">
        <v>377</v>
      </c>
      <c r="B378" s="1">
        <v>44994</v>
      </c>
      <c r="C378" s="2" t="s">
        <v>28</v>
      </c>
      <c r="D378" s="2" t="s">
        <v>405</v>
      </c>
      <c r="E378" s="2" t="s">
        <v>18</v>
      </c>
      <c r="F378">
        <v>46</v>
      </c>
      <c r="G378" s="2" t="s">
        <v>19</v>
      </c>
      <c r="H378">
        <v>4</v>
      </c>
      <c r="I378">
        <v>50</v>
      </c>
      <c r="J378">
        <v>200</v>
      </c>
      <c r="K378">
        <v>200</v>
      </c>
      <c r="L378">
        <v>2023</v>
      </c>
      <c r="M378">
        <v>258</v>
      </c>
      <c r="N378">
        <v>45264</v>
      </c>
      <c r="O378" t="str">
        <v>December</v>
      </c>
      <c r="P378" t="str">
        <v>CUST258</v>
      </c>
      <c r="Q378" t="str">
        <v>Female</v>
      </c>
      <c r="R378">
        <v>37</v>
      </c>
      <c r="S378" t="str">
        <v>Clothing</v>
      </c>
      <c r="T378">
        <v>1</v>
      </c>
      <c r="U378">
        <v>50</v>
      </c>
      <c r="V378">
        <v>50</v>
      </c>
      <c r="W378">
        <v>50</v>
      </c>
      <c r="X378">
        <v>2023</v>
      </c>
    </row>
    <row r="379" spans="1:24" x14ac:dyDescent="0.35">
      <c r="A379">
        <v>378</v>
      </c>
      <c r="B379" s="1">
        <v>45105</v>
      </c>
      <c r="C379" s="2" t="s">
        <v>62</v>
      </c>
      <c r="D379" s="2" t="s">
        <v>406</v>
      </c>
      <c r="E379" s="2" t="s">
        <v>14</v>
      </c>
      <c r="F379">
        <v>50</v>
      </c>
      <c r="G379" s="2" t="s">
        <v>15</v>
      </c>
      <c r="H379">
        <v>1</v>
      </c>
      <c r="I379">
        <v>300</v>
      </c>
      <c r="J379">
        <v>300</v>
      </c>
      <c r="K379">
        <v>300</v>
      </c>
      <c r="L379">
        <v>2023</v>
      </c>
      <c r="M379">
        <v>259</v>
      </c>
      <c r="N379">
        <v>45147</v>
      </c>
      <c r="O379" t="str">
        <v>August</v>
      </c>
      <c r="P379" t="str">
        <v>CUST259</v>
      </c>
      <c r="Q379" t="str">
        <v>Female</v>
      </c>
      <c r="R379">
        <v>45</v>
      </c>
      <c r="S379" t="str">
        <v>Clothing</v>
      </c>
      <c r="T379">
        <v>4</v>
      </c>
      <c r="U379">
        <v>50</v>
      </c>
      <c r="V379">
        <v>200</v>
      </c>
      <c r="W379">
        <v>200</v>
      </c>
      <c r="X379">
        <v>2023</v>
      </c>
    </row>
    <row r="380" spans="1:24" x14ac:dyDescent="0.35">
      <c r="A380">
        <v>379</v>
      </c>
      <c r="B380" s="1">
        <v>44962</v>
      </c>
      <c r="C380" s="2" t="s">
        <v>16</v>
      </c>
      <c r="D380" s="2" t="s">
        <v>407</v>
      </c>
      <c r="E380" s="2" t="s">
        <v>18</v>
      </c>
      <c r="F380">
        <v>47</v>
      </c>
      <c r="G380" s="2" t="s">
        <v>19</v>
      </c>
      <c r="H380">
        <v>1</v>
      </c>
      <c r="I380">
        <v>25</v>
      </c>
      <c r="J380">
        <v>25</v>
      </c>
      <c r="K380">
        <v>25</v>
      </c>
      <c r="L380">
        <v>2023</v>
      </c>
      <c r="M380">
        <v>260</v>
      </c>
      <c r="N380">
        <v>45108</v>
      </c>
      <c r="O380" t="str">
        <v>July</v>
      </c>
      <c r="P380" t="str">
        <v>CUST260</v>
      </c>
      <c r="Q380" t="str">
        <v>Male</v>
      </c>
      <c r="R380">
        <v>28</v>
      </c>
      <c r="S380" t="str">
        <v>Beauty</v>
      </c>
      <c r="T380">
        <v>2</v>
      </c>
      <c r="U380">
        <v>30</v>
      </c>
      <c r="V380">
        <v>60</v>
      </c>
      <c r="W380">
        <v>60</v>
      </c>
      <c r="X380">
        <v>2023</v>
      </c>
    </row>
    <row r="381" spans="1:24" x14ac:dyDescent="0.35">
      <c r="A381">
        <v>380</v>
      </c>
      <c r="B381" s="1">
        <v>45052</v>
      </c>
      <c r="C381" s="2" t="s">
        <v>23</v>
      </c>
      <c r="D381" s="2" t="s">
        <v>408</v>
      </c>
      <c r="E381" s="2" t="s">
        <v>14</v>
      </c>
      <c r="F381">
        <v>56</v>
      </c>
      <c r="G381" s="2" t="s">
        <v>22</v>
      </c>
      <c r="H381">
        <v>2</v>
      </c>
      <c r="I381">
        <v>300</v>
      </c>
      <c r="J381">
        <v>600</v>
      </c>
      <c r="K381">
        <v>600</v>
      </c>
      <c r="L381">
        <v>2023</v>
      </c>
      <c r="M381">
        <v>261</v>
      </c>
      <c r="N381">
        <v>45143</v>
      </c>
      <c r="O381" t="str">
        <v>August</v>
      </c>
      <c r="P381" t="str">
        <v>CUST261</v>
      </c>
      <c r="Q381" t="str">
        <v>Male</v>
      </c>
      <c r="R381">
        <v>21</v>
      </c>
      <c r="S381" t="str">
        <v>Clothing</v>
      </c>
      <c r="T381">
        <v>2</v>
      </c>
      <c r="U381">
        <v>25</v>
      </c>
      <c r="V381">
        <v>50</v>
      </c>
      <c r="W381">
        <v>50</v>
      </c>
      <c r="X381">
        <v>2023</v>
      </c>
    </row>
    <row r="382" spans="1:24" x14ac:dyDescent="0.35">
      <c r="A382">
        <v>381</v>
      </c>
      <c r="B382" s="1">
        <v>45116</v>
      </c>
      <c r="C382" s="2" t="s">
        <v>70</v>
      </c>
      <c r="D382" s="2" t="s">
        <v>409</v>
      </c>
      <c r="E382" s="2" t="s">
        <v>18</v>
      </c>
      <c r="F382">
        <v>44</v>
      </c>
      <c r="G382" s="2" t="s">
        <v>19</v>
      </c>
      <c r="H382">
        <v>4</v>
      </c>
      <c r="I382">
        <v>25</v>
      </c>
      <c r="J382">
        <v>100</v>
      </c>
      <c r="K382">
        <v>100</v>
      </c>
      <c r="L382">
        <v>2023</v>
      </c>
      <c r="M382">
        <v>262</v>
      </c>
      <c r="N382">
        <v>45137</v>
      </c>
      <c r="O382" t="str">
        <v>July</v>
      </c>
      <c r="P382" t="str">
        <v>CUST262</v>
      </c>
      <c r="Q382" t="str">
        <v>Female</v>
      </c>
      <c r="R382">
        <v>32</v>
      </c>
      <c r="S382" t="str">
        <v>Beauty</v>
      </c>
      <c r="T382">
        <v>4</v>
      </c>
      <c r="U382">
        <v>30</v>
      </c>
      <c r="V382">
        <v>120</v>
      </c>
      <c r="W382">
        <v>120</v>
      </c>
      <c r="X382">
        <v>2023</v>
      </c>
    </row>
    <row r="383" spans="1:24" x14ac:dyDescent="0.35">
      <c r="A383">
        <v>382</v>
      </c>
      <c r="B383" s="1">
        <v>45072</v>
      </c>
      <c r="C383" s="2" t="s">
        <v>23</v>
      </c>
      <c r="D383" s="2" t="s">
        <v>410</v>
      </c>
      <c r="E383" s="2" t="s">
        <v>18</v>
      </c>
      <c r="F383">
        <v>53</v>
      </c>
      <c r="G383" s="2" t="s">
        <v>19</v>
      </c>
      <c r="H383">
        <v>2</v>
      </c>
      <c r="I383">
        <v>500</v>
      </c>
      <c r="J383">
        <v>1000</v>
      </c>
      <c r="K383">
        <v>1000</v>
      </c>
      <c r="L383">
        <v>2023</v>
      </c>
      <c r="M383">
        <v>263</v>
      </c>
      <c r="N383">
        <v>45166</v>
      </c>
      <c r="O383" t="str">
        <v>August</v>
      </c>
      <c r="P383" t="str">
        <v>CUST263</v>
      </c>
      <c r="Q383" t="str">
        <v>Male</v>
      </c>
      <c r="R383">
        <v>23</v>
      </c>
      <c r="S383" t="str">
        <v>Beauty</v>
      </c>
      <c r="T383">
        <v>2</v>
      </c>
      <c r="U383">
        <v>30</v>
      </c>
      <c r="V383">
        <v>60</v>
      </c>
      <c r="W383">
        <v>60</v>
      </c>
      <c r="X383">
        <v>2023</v>
      </c>
    </row>
    <row r="384" spans="1:24" x14ac:dyDescent="0.35">
      <c r="A384">
        <v>383</v>
      </c>
      <c r="B384" s="1">
        <v>45007</v>
      </c>
      <c r="C384" s="2" t="s">
        <v>28</v>
      </c>
      <c r="D384" s="2" t="s">
        <v>411</v>
      </c>
      <c r="E384" s="2" t="s">
        <v>18</v>
      </c>
      <c r="F384">
        <v>46</v>
      </c>
      <c r="G384" s="2" t="s">
        <v>15</v>
      </c>
      <c r="H384">
        <v>3</v>
      </c>
      <c r="I384">
        <v>30</v>
      </c>
      <c r="J384">
        <v>90</v>
      </c>
      <c r="K384">
        <v>90</v>
      </c>
      <c r="L384">
        <v>2023</v>
      </c>
      <c r="M384">
        <v>264</v>
      </c>
      <c r="N384">
        <v>44954</v>
      </c>
      <c r="O384" t="str">
        <v>January</v>
      </c>
      <c r="P384" t="str">
        <v>CUST264</v>
      </c>
      <c r="Q384" t="str">
        <v>Male</v>
      </c>
      <c r="R384">
        <v>47</v>
      </c>
      <c r="S384" t="str">
        <v>Clothing</v>
      </c>
      <c r="T384">
        <v>3</v>
      </c>
      <c r="U384">
        <v>300</v>
      </c>
      <c r="V384">
        <v>900</v>
      </c>
      <c r="W384">
        <v>900</v>
      </c>
      <c r="X384">
        <v>2023</v>
      </c>
    </row>
    <row r="385" spans="1:24" x14ac:dyDescent="0.35">
      <c r="A385">
        <v>384</v>
      </c>
      <c r="B385" s="1">
        <v>45151</v>
      </c>
      <c r="C385" s="2" t="s">
        <v>37</v>
      </c>
      <c r="D385" s="2" t="s">
        <v>412</v>
      </c>
      <c r="E385" s="2" t="s">
        <v>14</v>
      </c>
      <c r="F385">
        <v>55</v>
      </c>
      <c r="G385" s="2" t="s">
        <v>19</v>
      </c>
      <c r="H385">
        <v>1</v>
      </c>
      <c r="I385">
        <v>500</v>
      </c>
      <c r="J385">
        <v>500</v>
      </c>
      <c r="K385">
        <v>500</v>
      </c>
      <c r="L385">
        <v>2023</v>
      </c>
      <c r="M385">
        <v>265</v>
      </c>
      <c r="N385">
        <v>45271</v>
      </c>
      <c r="O385" t="str">
        <v>December</v>
      </c>
      <c r="P385" t="str">
        <v>CUST265</v>
      </c>
      <c r="Q385" t="str">
        <v>Male</v>
      </c>
      <c r="R385">
        <v>55</v>
      </c>
      <c r="S385" t="str">
        <v>Clothing</v>
      </c>
      <c r="T385">
        <v>3</v>
      </c>
      <c r="U385">
        <v>300</v>
      </c>
      <c r="V385">
        <v>900</v>
      </c>
      <c r="W385">
        <v>900</v>
      </c>
      <c r="X385">
        <v>2023</v>
      </c>
    </row>
    <row r="386" spans="1:24" x14ac:dyDescent="0.35">
      <c r="A386">
        <v>385</v>
      </c>
      <c r="B386" s="1">
        <v>45205</v>
      </c>
      <c r="C386" s="2" t="s">
        <v>33</v>
      </c>
      <c r="D386" s="2" t="s">
        <v>413</v>
      </c>
      <c r="E386" s="2" t="s">
        <v>14</v>
      </c>
      <c r="F386">
        <v>50</v>
      </c>
      <c r="G386" s="2" t="s">
        <v>22</v>
      </c>
      <c r="H386">
        <v>3</v>
      </c>
      <c r="I386">
        <v>500</v>
      </c>
      <c r="J386">
        <v>1500</v>
      </c>
      <c r="K386">
        <v>1500</v>
      </c>
      <c r="L386">
        <v>2023</v>
      </c>
      <c r="M386">
        <v>266</v>
      </c>
      <c r="N386">
        <v>45261</v>
      </c>
      <c r="O386" t="str">
        <v>December</v>
      </c>
      <c r="P386" t="str">
        <v>CUST266</v>
      </c>
      <c r="Q386" t="str">
        <v>Female</v>
      </c>
      <c r="R386">
        <v>19</v>
      </c>
      <c r="S386" t="str">
        <v>Electronics</v>
      </c>
      <c r="T386">
        <v>2</v>
      </c>
      <c r="U386">
        <v>30</v>
      </c>
      <c r="V386">
        <v>60</v>
      </c>
      <c r="W386">
        <v>60</v>
      </c>
      <c r="X386">
        <v>2023</v>
      </c>
    </row>
    <row r="387" spans="1:24" x14ac:dyDescent="0.35">
      <c r="A387">
        <v>386</v>
      </c>
      <c r="B387" s="1">
        <v>45287</v>
      </c>
      <c r="C387" s="2" t="s">
        <v>31</v>
      </c>
      <c r="D387" s="2" t="s">
        <v>414</v>
      </c>
      <c r="E387" s="2" t="s">
        <v>18</v>
      </c>
      <c r="F387">
        <v>54</v>
      </c>
      <c r="G387" s="2" t="s">
        <v>22</v>
      </c>
      <c r="H387">
        <v>2</v>
      </c>
      <c r="I387">
        <v>300</v>
      </c>
      <c r="J387">
        <v>600</v>
      </c>
      <c r="K387">
        <v>600</v>
      </c>
      <c r="L387">
        <v>2023</v>
      </c>
      <c r="M387">
        <v>267</v>
      </c>
      <c r="N387">
        <v>45257</v>
      </c>
      <c r="O387" t="str">
        <v>November</v>
      </c>
      <c r="P387" t="str">
        <v>CUST267</v>
      </c>
      <c r="Q387" t="str">
        <v>Female</v>
      </c>
      <c r="R387">
        <v>32</v>
      </c>
      <c r="S387" t="str">
        <v>Beauty</v>
      </c>
      <c r="T387">
        <v>3</v>
      </c>
      <c r="U387">
        <v>30</v>
      </c>
      <c r="V387">
        <v>90</v>
      </c>
      <c r="W387">
        <v>90</v>
      </c>
      <c r="X387">
        <v>2023</v>
      </c>
    </row>
    <row r="388" spans="1:24" x14ac:dyDescent="0.35">
      <c r="A388">
        <v>387</v>
      </c>
      <c r="B388" s="1">
        <v>45081</v>
      </c>
      <c r="C388" s="2" t="s">
        <v>62</v>
      </c>
      <c r="D388" s="2" t="s">
        <v>415</v>
      </c>
      <c r="E388" s="2" t="s">
        <v>14</v>
      </c>
      <c r="F388">
        <v>44</v>
      </c>
      <c r="G388" s="2" t="s">
        <v>15</v>
      </c>
      <c r="H388">
        <v>1</v>
      </c>
      <c r="I388">
        <v>30</v>
      </c>
      <c r="J388">
        <v>30</v>
      </c>
      <c r="K388">
        <v>30</v>
      </c>
      <c r="L388">
        <v>2023</v>
      </c>
      <c r="M388">
        <v>268</v>
      </c>
      <c r="N388">
        <v>44977</v>
      </c>
      <c r="O388" t="str">
        <v>February</v>
      </c>
      <c r="P388" t="str">
        <v>CUST268</v>
      </c>
      <c r="Q388" t="str">
        <v>Female</v>
      </c>
      <c r="R388">
        <v>28</v>
      </c>
      <c r="S388" t="str">
        <v>Electronics</v>
      </c>
      <c r="T388">
        <v>1</v>
      </c>
      <c r="U388">
        <v>30</v>
      </c>
      <c r="V388">
        <v>30</v>
      </c>
      <c r="W388">
        <v>30</v>
      </c>
      <c r="X388">
        <v>2023</v>
      </c>
    </row>
    <row r="389" spans="1:24" x14ac:dyDescent="0.35">
      <c r="A389">
        <v>388</v>
      </c>
      <c r="B389" s="1">
        <v>45240</v>
      </c>
      <c r="C389" s="2" t="s">
        <v>12</v>
      </c>
      <c r="D389" s="2" t="s">
        <v>416</v>
      </c>
      <c r="E389" s="2" t="s">
        <v>14</v>
      </c>
      <c r="F389">
        <v>50</v>
      </c>
      <c r="G389" s="2" t="s">
        <v>22</v>
      </c>
      <c r="H389">
        <v>1</v>
      </c>
      <c r="I389">
        <v>25</v>
      </c>
      <c r="J389">
        <v>25</v>
      </c>
      <c r="K389">
        <v>25</v>
      </c>
      <c r="L389">
        <v>2023</v>
      </c>
      <c r="M389">
        <v>269</v>
      </c>
      <c r="N389">
        <v>44958</v>
      </c>
      <c r="O389" t="str">
        <v>February</v>
      </c>
      <c r="P389" t="str">
        <v>CUST269</v>
      </c>
      <c r="Q389" t="str">
        <v>Male</v>
      </c>
      <c r="R389">
        <v>25</v>
      </c>
      <c r="S389" t="str">
        <v>Clothing</v>
      </c>
      <c r="T389">
        <v>4</v>
      </c>
      <c r="U389">
        <v>500</v>
      </c>
      <c r="V389">
        <v>2000</v>
      </c>
      <c r="W389">
        <v>2000</v>
      </c>
      <c r="X389">
        <v>2023</v>
      </c>
    </row>
    <row r="390" spans="1:24" x14ac:dyDescent="0.35">
      <c r="A390">
        <v>389</v>
      </c>
      <c r="B390" s="1">
        <v>45261</v>
      </c>
      <c r="C390" s="2" t="s">
        <v>31</v>
      </c>
      <c r="D390" s="2" t="s">
        <v>417</v>
      </c>
      <c r="E390" s="2" t="s">
        <v>14</v>
      </c>
      <c r="F390">
        <v>21</v>
      </c>
      <c r="G390" s="2" t="s">
        <v>19</v>
      </c>
      <c r="H390">
        <v>2</v>
      </c>
      <c r="I390">
        <v>25</v>
      </c>
      <c r="J390">
        <v>50</v>
      </c>
      <c r="K390">
        <v>50</v>
      </c>
      <c r="L390">
        <v>2023</v>
      </c>
      <c r="M390">
        <v>270</v>
      </c>
      <c r="N390">
        <v>45133</v>
      </c>
      <c r="O390" t="str">
        <v>July</v>
      </c>
      <c r="P390" t="str">
        <v>CUST270</v>
      </c>
      <c r="Q390" t="str">
        <v>Male</v>
      </c>
      <c r="R390">
        <v>43</v>
      </c>
      <c r="S390" t="str">
        <v>Electronics</v>
      </c>
      <c r="T390">
        <v>1</v>
      </c>
      <c r="U390">
        <v>300</v>
      </c>
      <c r="V390">
        <v>300</v>
      </c>
      <c r="W390">
        <v>300</v>
      </c>
      <c r="X390">
        <v>2023</v>
      </c>
    </row>
    <row r="391" spans="1:24" x14ac:dyDescent="0.35">
      <c r="A391">
        <v>390</v>
      </c>
      <c r="B391" s="1">
        <v>45197</v>
      </c>
      <c r="C391" s="2" t="s">
        <v>44</v>
      </c>
      <c r="D391" s="2" t="s">
        <v>418</v>
      </c>
      <c r="E391" s="2" t="s">
        <v>14</v>
      </c>
      <c r="F391">
        <v>39</v>
      </c>
      <c r="G391" s="2" t="s">
        <v>22</v>
      </c>
      <c r="H391">
        <v>2</v>
      </c>
      <c r="I391">
        <v>50</v>
      </c>
      <c r="J391">
        <v>100</v>
      </c>
      <c r="K391">
        <v>100</v>
      </c>
      <c r="L391">
        <v>2023</v>
      </c>
      <c r="M391">
        <v>271</v>
      </c>
      <c r="N391">
        <v>45100</v>
      </c>
      <c r="O391" t="str">
        <v>June</v>
      </c>
      <c r="P391" t="str">
        <v>CUST271</v>
      </c>
      <c r="Q391" t="str">
        <v>Female</v>
      </c>
      <c r="R391">
        <v>62</v>
      </c>
      <c r="S391" t="str">
        <v>Beauty</v>
      </c>
      <c r="T391">
        <v>4</v>
      </c>
      <c r="U391">
        <v>30</v>
      </c>
      <c r="V391">
        <v>120</v>
      </c>
      <c r="W391">
        <v>120</v>
      </c>
      <c r="X391">
        <v>2023</v>
      </c>
    </row>
    <row r="392" spans="1:24" x14ac:dyDescent="0.35">
      <c r="A392">
        <v>391</v>
      </c>
      <c r="B392" s="1">
        <v>44931</v>
      </c>
      <c r="C392" s="2" t="s">
        <v>20</v>
      </c>
      <c r="D392" s="2" t="s">
        <v>419</v>
      </c>
      <c r="E392" s="2" t="s">
        <v>14</v>
      </c>
      <c r="F392">
        <v>19</v>
      </c>
      <c r="G392" s="2" t="s">
        <v>15</v>
      </c>
      <c r="H392">
        <v>2</v>
      </c>
      <c r="I392">
        <v>25</v>
      </c>
      <c r="J392">
        <v>50</v>
      </c>
      <c r="K392">
        <v>50</v>
      </c>
      <c r="L392">
        <v>2023</v>
      </c>
      <c r="M392">
        <v>272</v>
      </c>
      <c r="N392">
        <v>44982</v>
      </c>
      <c r="O392" t="str">
        <v>February</v>
      </c>
      <c r="P392" t="str">
        <v>CUST272</v>
      </c>
      <c r="Q392" t="str">
        <v>Female</v>
      </c>
      <c r="R392">
        <v>61</v>
      </c>
      <c r="S392" t="str">
        <v>Electronics</v>
      </c>
      <c r="T392">
        <v>2</v>
      </c>
      <c r="U392">
        <v>50</v>
      </c>
      <c r="V392">
        <v>100</v>
      </c>
      <c r="W392">
        <v>100</v>
      </c>
      <c r="X392">
        <v>2023</v>
      </c>
    </row>
    <row r="393" spans="1:24" x14ac:dyDescent="0.35">
      <c r="A393">
        <v>392</v>
      </c>
      <c r="B393" s="1">
        <v>45268</v>
      </c>
      <c r="C393" s="2" t="s">
        <v>31</v>
      </c>
      <c r="D393" s="2" t="s">
        <v>420</v>
      </c>
      <c r="E393" s="2" t="s">
        <v>14</v>
      </c>
      <c r="F393">
        <v>27</v>
      </c>
      <c r="G393" s="2" t="s">
        <v>19</v>
      </c>
      <c r="H393">
        <v>2</v>
      </c>
      <c r="I393">
        <v>300</v>
      </c>
      <c r="J393">
        <v>600</v>
      </c>
      <c r="K393">
        <v>600</v>
      </c>
      <c r="L393">
        <v>2023</v>
      </c>
      <c r="M393">
        <v>273</v>
      </c>
      <c r="N393">
        <v>45054</v>
      </c>
      <c r="O393" t="str">
        <v>May</v>
      </c>
      <c r="P393" t="str">
        <v>CUST273</v>
      </c>
      <c r="Q393" t="str">
        <v>Female</v>
      </c>
      <c r="R393">
        <v>22</v>
      </c>
      <c r="S393" t="str">
        <v>Beauty</v>
      </c>
      <c r="T393">
        <v>1</v>
      </c>
      <c r="U393">
        <v>50</v>
      </c>
      <c r="V393">
        <v>50</v>
      </c>
      <c r="W393">
        <v>50</v>
      </c>
      <c r="X393">
        <v>2023</v>
      </c>
    </row>
    <row r="394" spans="1:24" x14ac:dyDescent="0.35">
      <c r="A394">
        <v>393</v>
      </c>
      <c r="B394" s="1">
        <v>45210</v>
      </c>
      <c r="C394" s="2" t="s">
        <v>33</v>
      </c>
      <c r="D394" s="2" t="s">
        <v>421</v>
      </c>
      <c r="E394" s="2" t="s">
        <v>18</v>
      </c>
      <c r="F394">
        <v>22</v>
      </c>
      <c r="G394" s="2" t="s">
        <v>15</v>
      </c>
      <c r="H394">
        <v>2</v>
      </c>
      <c r="I394">
        <v>500</v>
      </c>
      <c r="J394">
        <v>1000</v>
      </c>
      <c r="K394">
        <v>1000</v>
      </c>
      <c r="L394">
        <v>2023</v>
      </c>
      <c r="M394">
        <v>274</v>
      </c>
      <c r="N394">
        <v>45025</v>
      </c>
      <c r="O394" t="str">
        <v>April</v>
      </c>
      <c r="P394" t="str">
        <v>CUST274</v>
      </c>
      <c r="Q394" t="str">
        <v>Female</v>
      </c>
      <c r="R394">
        <v>23</v>
      </c>
      <c r="S394" t="str">
        <v>Clothing</v>
      </c>
      <c r="T394">
        <v>2</v>
      </c>
      <c r="U394">
        <v>500</v>
      </c>
      <c r="V394">
        <v>1000</v>
      </c>
      <c r="W394">
        <v>1000</v>
      </c>
      <c r="X394">
        <v>2023</v>
      </c>
    </row>
    <row r="395" spans="1:24" x14ac:dyDescent="0.35">
      <c r="A395">
        <v>394</v>
      </c>
      <c r="B395" s="1">
        <v>45080</v>
      </c>
      <c r="C395" s="2" t="s">
        <v>62</v>
      </c>
      <c r="D395" s="2" t="s">
        <v>422</v>
      </c>
      <c r="E395" s="2" t="s">
        <v>18</v>
      </c>
      <c r="F395">
        <v>27</v>
      </c>
      <c r="G395" s="2" t="s">
        <v>19</v>
      </c>
      <c r="H395">
        <v>1</v>
      </c>
      <c r="I395">
        <v>500</v>
      </c>
      <c r="J395">
        <v>500</v>
      </c>
      <c r="K395">
        <v>500</v>
      </c>
      <c r="L395">
        <v>2023</v>
      </c>
      <c r="M395">
        <v>275</v>
      </c>
      <c r="N395">
        <v>45024</v>
      </c>
      <c r="O395" t="str">
        <v>April</v>
      </c>
      <c r="P395" t="str">
        <v>CUST275</v>
      </c>
      <c r="Q395" t="str">
        <v>Male</v>
      </c>
      <c r="R395">
        <v>43</v>
      </c>
      <c r="S395" t="str">
        <v>Clothing</v>
      </c>
      <c r="T395">
        <v>2</v>
      </c>
      <c r="U395">
        <v>500</v>
      </c>
      <c r="V395">
        <v>1000</v>
      </c>
      <c r="W395">
        <v>1000</v>
      </c>
      <c r="X395">
        <v>2023</v>
      </c>
    </row>
    <row r="396" spans="1:24" x14ac:dyDescent="0.35">
      <c r="A396">
        <v>395</v>
      </c>
      <c r="B396" s="1">
        <v>45266</v>
      </c>
      <c r="C396" s="2" t="s">
        <v>31</v>
      </c>
      <c r="D396" s="2" t="s">
        <v>423</v>
      </c>
      <c r="E396" s="2" t="s">
        <v>14</v>
      </c>
      <c r="F396">
        <v>50</v>
      </c>
      <c r="G396" s="2" t="s">
        <v>22</v>
      </c>
      <c r="H396">
        <v>2</v>
      </c>
      <c r="I396">
        <v>500</v>
      </c>
      <c r="J396">
        <v>1000</v>
      </c>
      <c r="K396">
        <v>1000</v>
      </c>
      <c r="L396">
        <v>2023</v>
      </c>
      <c r="M396">
        <v>276</v>
      </c>
      <c r="N396">
        <v>45201</v>
      </c>
      <c r="O396" t="str">
        <v>October</v>
      </c>
      <c r="P396" t="str">
        <v>CUST276</v>
      </c>
      <c r="Q396" t="str">
        <v>Female</v>
      </c>
      <c r="R396">
        <v>21</v>
      </c>
      <c r="S396" t="str">
        <v>Beauty</v>
      </c>
      <c r="T396">
        <v>4</v>
      </c>
      <c r="U396">
        <v>25</v>
      </c>
      <c r="V396">
        <v>100</v>
      </c>
      <c r="W396">
        <v>100</v>
      </c>
      <c r="X396">
        <v>2023</v>
      </c>
    </row>
    <row r="397" spans="1:24" x14ac:dyDescent="0.35">
      <c r="A397">
        <v>396</v>
      </c>
      <c r="B397" s="1">
        <v>44980</v>
      </c>
      <c r="C397" s="2" t="s">
        <v>16</v>
      </c>
      <c r="D397" s="2" t="s">
        <v>424</v>
      </c>
      <c r="E397" s="2" t="s">
        <v>18</v>
      </c>
      <c r="F397">
        <v>55</v>
      </c>
      <c r="G397" s="2" t="s">
        <v>15</v>
      </c>
      <c r="H397">
        <v>1</v>
      </c>
      <c r="I397">
        <v>30</v>
      </c>
      <c r="J397">
        <v>30</v>
      </c>
      <c r="K397">
        <v>30</v>
      </c>
      <c r="L397">
        <v>2023</v>
      </c>
      <c r="M397">
        <v>277</v>
      </c>
      <c r="N397">
        <v>45156</v>
      </c>
      <c r="O397" t="str">
        <v>August</v>
      </c>
      <c r="P397" t="str">
        <v>CUST277</v>
      </c>
      <c r="Q397" t="str">
        <v>Male</v>
      </c>
      <c r="R397">
        <v>36</v>
      </c>
      <c r="S397" t="str">
        <v>Clothing</v>
      </c>
      <c r="T397">
        <v>4</v>
      </c>
      <c r="U397">
        <v>25</v>
      </c>
      <c r="V397">
        <v>100</v>
      </c>
      <c r="W397">
        <v>100</v>
      </c>
      <c r="X397">
        <v>2023</v>
      </c>
    </row>
    <row r="398" spans="1:24" x14ac:dyDescent="0.35">
      <c r="A398">
        <v>397</v>
      </c>
      <c r="B398" s="1">
        <v>44995</v>
      </c>
      <c r="C398" s="2" t="s">
        <v>28</v>
      </c>
      <c r="D398" s="2" t="s">
        <v>425</v>
      </c>
      <c r="E398" s="2" t="s">
        <v>18</v>
      </c>
      <c r="F398">
        <v>30</v>
      </c>
      <c r="G398" s="2" t="s">
        <v>15</v>
      </c>
      <c r="H398">
        <v>1</v>
      </c>
      <c r="I398">
        <v>25</v>
      </c>
      <c r="J398">
        <v>25</v>
      </c>
      <c r="K398">
        <v>25</v>
      </c>
      <c r="L398">
        <v>2023</v>
      </c>
      <c r="M398">
        <v>278</v>
      </c>
      <c r="N398">
        <v>44998</v>
      </c>
      <c r="O398" t="str">
        <v>March</v>
      </c>
      <c r="P398" t="str">
        <v>CUST278</v>
      </c>
      <c r="Q398" t="str">
        <v>Female</v>
      </c>
      <c r="R398">
        <v>37</v>
      </c>
      <c r="S398" t="str">
        <v>Clothing</v>
      </c>
      <c r="T398">
        <v>4</v>
      </c>
      <c r="U398">
        <v>25</v>
      </c>
      <c r="V398">
        <v>100</v>
      </c>
      <c r="W398">
        <v>100</v>
      </c>
      <c r="X398">
        <v>2023</v>
      </c>
    </row>
    <row r="399" spans="1:24" x14ac:dyDescent="0.35">
      <c r="A399">
        <v>398</v>
      </c>
      <c r="B399" s="1">
        <v>45062</v>
      </c>
      <c r="C399" s="2" t="s">
        <v>23</v>
      </c>
      <c r="D399" s="2" t="s">
        <v>426</v>
      </c>
      <c r="E399" s="2" t="s">
        <v>18</v>
      </c>
      <c r="F399">
        <v>48</v>
      </c>
      <c r="G399" s="2" t="s">
        <v>19</v>
      </c>
      <c r="H399">
        <v>2</v>
      </c>
      <c r="I399">
        <v>300</v>
      </c>
      <c r="J399">
        <v>600</v>
      </c>
      <c r="K399">
        <v>600</v>
      </c>
      <c r="L399">
        <v>2023</v>
      </c>
      <c r="M399">
        <v>279</v>
      </c>
      <c r="N399">
        <v>45143</v>
      </c>
      <c r="O399" t="str">
        <v>August</v>
      </c>
      <c r="P399" t="str">
        <v>CUST279</v>
      </c>
      <c r="Q399" t="str">
        <v>Male</v>
      </c>
      <c r="R399">
        <v>50</v>
      </c>
      <c r="S399" t="str">
        <v>Clothing</v>
      </c>
      <c r="T399">
        <v>1</v>
      </c>
      <c r="U399">
        <v>500</v>
      </c>
      <c r="V399">
        <v>500</v>
      </c>
      <c r="W399">
        <v>500</v>
      </c>
      <c r="X399">
        <v>2023</v>
      </c>
    </row>
    <row r="400" spans="1:24" x14ac:dyDescent="0.35">
      <c r="A400">
        <v>399</v>
      </c>
      <c r="B400" s="1">
        <v>44986</v>
      </c>
      <c r="C400" s="2" t="s">
        <v>28</v>
      </c>
      <c r="D400" s="2" t="s">
        <v>427</v>
      </c>
      <c r="E400" s="2" t="s">
        <v>18</v>
      </c>
      <c r="F400">
        <v>64</v>
      </c>
      <c r="G400" s="2" t="s">
        <v>15</v>
      </c>
      <c r="H400">
        <v>2</v>
      </c>
      <c r="I400">
        <v>30</v>
      </c>
      <c r="J400">
        <v>60</v>
      </c>
      <c r="K400">
        <v>60</v>
      </c>
      <c r="L400">
        <v>2023</v>
      </c>
      <c r="M400">
        <v>280</v>
      </c>
      <c r="N400">
        <v>45020</v>
      </c>
      <c r="O400" t="str">
        <v>April</v>
      </c>
      <c r="P400" t="str">
        <v>CUST280</v>
      </c>
      <c r="Q400" t="str">
        <v>Female</v>
      </c>
      <c r="R400">
        <v>37</v>
      </c>
      <c r="S400" t="str">
        <v>Clothing</v>
      </c>
      <c r="T400">
        <v>3</v>
      </c>
      <c r="U400">
        <v>500</v>
      </c>
      <c r="V400">
        <v>1500</v>
      </c>
      <c r="W400">
        <v>1500</v>
      </c>
      <c r="X400">
        <v>2023</v>
      </c>
    </row>
    <row r="401" spans="1:24" x14ac:dyDescent="0.35">
      <c r="A401">
        <v>400</v>
      </c>
      <c r="B401" s="1">
        <v>44981</v>
      </c>
      <c r="C401" s="2" t="s">
        <v>16</v>
      </c>
      <c r="D401" s="2" t="s">
        <v>428</v>
      </c>
      <c r="E401" s="2" t="s">
        <v>14</v>
      </c>
      <c r="F401">
        <v>53</v>
      </c>
      <c r="G401" s="2" t="s">
        <v>19</v>
      </c>
      <c r="H401">
        <v>4</v>
      </c>
      <c r="I401">
        <v>50</v>
      </c>
      <c r="J401">
        <v>200</v>
      </c>
      <c r="K401">
        <v>200</v>
      </c>
      <c r="L401">
        <v>2023</v>
      </c>
      <c r="M401">
        <v>281</v>
      </c>
      <c r="N401">
        <v>45069</v>
      </c>
      <c r="O401" t="str">
        <v>May</v>
      </c>
      <c r="P401" t="str">
        <v>CUST281</v>
      </c>
      <c r="Q401" t="str">
        <v>Female</v>
      </c>
      <c r="R401">
        <v>29</v>
      </c>
      <c r="S401" t="str">
        <v>Beauty</v>
      </c>
      <c r="T401">
        <v>4</v>
      </c>
      <c r="U401">
        <v>500</v>
      </c>
      <c r="V401">
        <v>2000</v>
      </c>
      <c r="W401">
        <v>2000</v>
      </c>
      <c r="X401">
        <v>2023</v>
      </c>
    </row>
    <row r="402" spans="1:24" x14ac:dyDescent="0.35">
      <c r="A402">
        <v>401</v>
      </c>
      <c r="B402" s="1">
        <v>45210</v>
      </c>
      <c r="C402" s="2" t="s">
        <v>33</v>
      </c>
      <c r="D402" s="2" t="s">
        <v>429</v>
      </c>
      <c r="E402" s="2" t="s">
        <v>18</v>
      </c>
      <c r="F402">
        <v>62</v>
      </c>
      <c r="G402" s="2" t="s">
        <v>19</v>
      </c>
      <c r="H402">
        <v>1</v>
      </c>
      <c r="I402">
        <v>300</v>
      </c>
      <c r="J402">
        <v>300</v>
      </c>
      <c r="K402">
        <v>300</v>
      </c>
      <c r="L402">
        <v>2023</v>
      </c>
      <c r="M402">
        <v>282</v>
      </c>
      <c r="N402">
        <v>45163</v>
      </c>
      <c r="O402" t="str">
        <v>August</v>
      </c>
      <c r="P402" t="str">
        <v>CUST282</v>
      </c>
      <c r="Q402" t="str">
        <v>Female</v>
      </c>
      <c r="R402">
        <v>64</v>
      </c>
      <c r="S402" t="str">
        <v>Electronics</v>
      </c>
      <c r="T402">
        <v>4</v>
      </c>
      <c r="U402">
        <v>50</v>
      </c>
      <c r="V402">
        <v>200</v>
      </c>
      <c r="W402">
        <v>200</v>
      </c>
      <c r="X402">
        <v>2023</v>
      </c>
    </row>
    <row r="403" spans="1:24" x14ac:dyDescent="0.35">
      <c r="A403">
        <v>402</v>
      </c>
      <c r="B403" s="1">
        <v>45006</v>
      </c>
      <c r="C403" s="2" t="s">
        <v>28</v>
      </c>
      <c r="D403" s="2" t="s">
        <v>430</v>
      </c>
      <c r="E403" s="2" t="s">
        <v>18</v>
      </c>
      <c r="F403">
        <v>41</v>
      </c>
      <c r="G403" s="2" t="s">
        <v>19</v>
      </c>
      <c r="H403">
        <v>2</v>
      </c>
      <c r="I403">
        <v>300</v>
      </c>
      <c r="J403">
        <v>600</v>
      </c>
      <c r="K403">
        <v>600</v>
      </c>
      <c r="L403">
        <v>2023</v>
      </c>
      <c r="M403">
        <v>283</v>
      </c>
      <c r="N403">
        <v>45054</v>
      </c>
      <c r="O403" t="str">
        <v>May</v>
      </c>
      <c r="P403" t="str">
        <v>CUST283</v>
      </c>
      <c r="Q403" t="str">
        <v>Female</v>
      </c>
      <c r="R403">
        <v>18</v>
      </c>
      <c r="S403" t="str">
        <v>Electronics</v>
      </c>
      <c r="T403">
        <v>1</v>
      </c>
      <c r="U403">
        <v>500</v>
      </c>
      <c r="V403">
        <v>500</v>
      </c>
      <c r="W403">
        <v>500</v>
      </c>
      <c r="X403">
        <v>2023</v>
      </c>
    </row>
    <row r="404" spans="1:24" x14ac:dyDescent="0.35">
      <c r="A404">
        <v>403</v>
      </c>
      <c r="B404" s="1">
        <v>45066</v>
      </c>
      <c r="C404" s="2" t="s">
        <v>23</v>
      </c>
      <c r="D404" s="2" t="s">
        <v>431</v>
      </c>
      <c r="E404" s="2" t="s">
        <v>14</v>
      </c>
      <c r="F404">
        <v>32</v>
      </c>
      <c r="G404" s="2" t="s">
        <v>19</v>
      </c>
      <c r="H404">
        <v>2</v>
      </c>
      <c r="I404">
        <v>300</v>
      </c>
      <c r="J404">
        <v>600</v>
      </c>
      <c r="K404">
        <v>600</v>
      </c>
      <c r="L404">
        <v>2023</v>
      </c>
      <c r="M404">
        <v>284</v>
      </c>
      <c r="N404">
        <v>44965</v>
      </c>
      <c r="O404" t="str">
        <v>February</v>
      </c>
      <c r="P404" t="str">
        <v>CUST284</v>
      </c>
      <c r="Q404" t="str">
        <v>Male</v>
      </c>
      <c r="R404">
        <v>43</v>
      </c>
      <c r="S404" t="str">
        <v>Clothing</v>
      </c>
      <c r="T404">
        <v>4</v>
      </c>
      <c r="U404">
        <v>50</v>
      </c>
      <c r="V404">
        <v>200</v>
      </c>
      <c r="W404">
        <v>200</v>
      </c>
      <c r="X404">
        <v>2023</v>
      </c>
    </row>
    <row r="405" spans="1:24" x14ac:dyDescent="0.35">
      <c r="A405">
        <v>404</v>
      </c>
      <c r="B405" s="1">
        <v>45071</v>
      </c>
      <c r="C405" s="2" t="s">
        <v>23</v>
      </c>
      <c r="D405" s="2" t="s">
        <v>432</v>
      </c>
      <c r="E405" s="2" t="s">
        <v>14</v>
      </c>
      <c r="F405">
        <v>46</v>
      </c>
      <c r="G405" s="2" t="s">
        <v>22</v>
      </c>
      <c r="H405">
        <v>2</v>
      </c>
      <c r="I405">
        <v>500</v>
      </c>
      <c r="J405">
        <v>1000</v>
      </c>
      <c r="K405">
        <v>1000</v>
      </c>
      <c r="L405">
        <v>2023</v>
      </c>
      <c r="M405">
        <v>285</v>
      </c>
      <c r="N405">
        <v>45153</v>
      </c>
      <c r="O405" t="str">
        <v>August</v>
      </c>
      <c r="P405" t="str">
        <v>CUST285</v>
      </c>
      <c r="Q405" t="str">
        <v>Female</v>
      </c>
      <c r="R405">
        <v>31</v>
      </c>
      <c r="S405" t="str">
        <v>Electronics</v>
      </c>
      <c r="T405">
        <v>1</v>
      </c>
      <c r="U405">
        <v>25</v>
      </c>
      <c r="V405">
        <v>25</v>
      </c>
      <c r="W405">
        <v>25</v>
      </c>
      <c r="X405">
        <v>2023</v>
      </c>
    </row>
    <row r="406" spans="1:24" x14ac:dyDescent="0.35">
      <c r="A406">
        <v>405</v>
      </c>
      <c r="B406" s="1">
        <v>45236</v>
      </c>
      <c r="C406" s="2" t="s">
        <v>12</v>
      </c>
      <c r="D406" s="2" t="s">
        <v>433</v>
      </c>
      <c r="E406" s="2" t="s">
        <v>18</v>
      </c>
      <c r="F406">
        <v>25</v>
      </c>
      <c r="G406" s="2" t="s">
        <v>19</v>
      </c>
      <c r="H406">
        <v>4</v>
      </c>
      <c r="I406">
        <v>300</v>
      </c>
      <c r="J406">
        <v>1200</v>
      </c>
      <c r="K406">
        <v>1200</v>
      </c>
      <c r="L406">
        <v>2023</v>
      </c>
      <c r="M406">
        <v>286</v>
      </c>
      <c r="N406">
        <v>45208</v>
      </c>
      <c r="O406" t="str">
        <v>October</v>
      </c>
      <c r="P406" t="str">
        <v>CUST286</v>
      </c>
      <c r="Q406" t="str">
        <v>Male</v>
      </c>
      <c r="R406">
        <v>55</v>
      </c>
      <c r="S406" t="str">
        <v>Electronics</v>
      </c>
      <c r="T406">
        <v>2</v>
      </c>
      <c r="U406">
        <v>25</v>
      </c>
      <c r="V406">
        <v>50</v>
      </c>
      <c r="W406">
        <v>50</v>
      </c>
      <c r="X406">
        <v>2023</v>
      </c>
    </row>
    <row r="407" spans="1:24" x14ac:dyDescent="0.35">
      <c r="A407">
        <v>406</v>
      </c>
      <c r="B407" s="1">
        <v>45034</v>
      </c>
      <c r="C407" s="2" t="s">
        <v>26</v>
      </c>
      <c r="D407" s="2" t="s">
        <v>434</v>
      </c>
      <c r="E407" s="2" t="s">
        <v>18</v>
      </c>
      <c r="F407">
        <v>22</v>
      </c>
      <c r="G407" s="2" t="s">
        <v>15</v>
      </c>
      <c r="H407">
        <v>4</v>
      </c>
      <c r="I407">
        <v>25</v>
      </c>
      <c r="J407">
        <v>100</v>
      </c>
      <c r="K407">
        <v>100</v>
      </c>
      <c r="L407">
        <v>2023</v>
      </c>
      <c r="M407">
        <v>287</v>
      </c>
      <c r="N407">
        <v>44977</v>
      </c>
      <c r="O407" t="str">
        <v>February</v>
      </c>
      <c r="P407" t="str">
        <v>CUST287</v>
      </c>
      <c r="Q407" t="str">
        <v>Male</v>
      </c>
      <c r="R407">
        <v>54</v>
      </c>
      <c r="S407" t="str">
        <v>Clothing</v>
      </c>
      <c r="T407">
        <v>4</v>
      </c>
      <c r="U407">
        <v>25</v>
      </c>
      <c r="V407">
        <v>100</v>
      </c>
      <c r="W407">
        <v>100</v>
      </c>
      <c r="X407">
        <v>2023</v>
      </c>
    </row>
    <row r="408" spans="1:24" x14ac:dyDescent="0.35">
      <c r="A408">
        <v>407</v>
      </c>
      <c r="B408" s="1">
        <v>45102</v>
      </c>
      <c r="C408" s="2" t="s">
        <v>62</v>
      </c>
      <c r="D408" s="2" t="s">
        <v>435</v>
      </c>
      <c r="E408" s="2" t="s">
        <v>18</v>
      </c>
      <c r="F408">
        <v>46</v>
      </c>
      <c r="G408" s="2" t="s">
        <v>22</v>
      </c>
      <c r="H408">
        <v>3</v>
      </c>
      <c r="I408">
        <v>300</v>
      </c>
      <c r="J408">
        <v>900</v>
      </c>
      <c r="K408">
        <v>900</v>
      </c>
      <c r="L408">
        <v>2023</v>
      </c>
      <c r="M408">
        <v>288</v>
      </c>
      <c r="N408">
        <v>44952</v>
      </c>
      <c r="O408" t="str">
        <v>January</v>
      </c>
      <c r="P408" t="str">
        <v>CUST288</v>
      </c>
      <c r="Q408" t="str">
        <v>Male</v>
      </c>
      <c r="R408">
        <v>28</v>
      </c>
      <c r="S408" t="str">
        <v>Clothing</v>
      </c>
      <c r="T408">
        <v>4</v>
      </c>
      <c r="U408">
        <v>30</v>
      </c>
      <c r="V408">
        <v>120</v>
      </c>
      <c r="W408">
        <v>120</v>
      </c>
      <c r="X408">
        <v>2023</v>
      </c>
    </row>
    <row r="409" spans="1:24" x14ac:dyDescent="0.35">
      <c r="A409">
        <v>408</v>
      </c>
      <c r="B409" s="1">
        <v>45031</v>
      </c>
      <c r="C409" s="2" t="s">
        <v>26</v>
      </c>
      <c r="D409" s="2" t="s">
        <v>436</v>
      </c>
      <c r="E409" s="2" t="s">
        <v>18</v>
      </c>
      <c r="F409">
        <v>64</v>
      </c>
      <c r="G409" s="2" t="s">
        <v>15</v>
      </c>
      <c r="H409">
        <v>1</v>
      </c>
      <c r="I409">
        <v>500</v>
      </c>
      <c r="J409">
        <v>500</v>
      </c>
      <c r="K409">
        <v>500</v>
      </c>
      <c r="L409">
        <v>2023</v>
      </c>
      <c r="M409">
        <v>289</v>
      </c>
      <c r="N409">
        <v>45260</v>
      </c>
      <c r="O409" t="str">
        <v>November</v>
      </c>
      <c r="P409" t="str">
        <v>CUST289</v>
      </c>
      <c r="Q409" t="str">
        <v>Male</v>
      </c>
      <c r="R409">
        <v>53</v>
      </c>
      <c r="S409" t="str">
        <v>Electronics</v>
      </c>
      <c r="T409">
        <v>2</v>
      </c>
      <c r="U409">
        <v>30</v>
      </c>
      <c r="V409">
        <v>60</v>
      </c>
      <c r="W409">
        <v>60</v>
      </c>
      <c r="X409">
        <v>2023</v>
      </c>
    </row>
    <row r="410" spans="1:24" x14ac:dyDescent="0.35">
      <c r="A410">
        <v>409</v>
      </c>
      <c r="B410" s="1">
        <v>45278</v>
      </c>
      <c r="C410" s="2" t="s">
        <v>31</v>
      </c>
      <c r="D410" s="2" t="s">
        <v>437</v>
      </c>
      <c r="E410" s="2" t="s">
        <v>18</v>
      </c>
      <c r="F410">
        <v>21</v>
      </c>
      <c r="G410" s="2" t="s">
        <v>22</v>
      </c>
      <c r="H410">
        <v>3</v>
      </c>
      <c r="I410">
        <v>300</v>
      </c>
      <c r="J410">
        <v>900</v>
      </c>
      <c r="K410">
        <v>900</v>
      </c>
      <c r="L410">
        <v>2023</v>
      </c>
      <c r="M410">
        <v>290</v>
      </c>
      <c r="N410">
        <v>45203</v>
      </c>
      <c r="O410" t="str">
        <v>October</v>
      </c>
      <c r="P410" t="str">
        <v>CUST290</v>
      </c>
      <c r="Q410" t="str">
        <v>Female</v>
      </c>
      <c r="R410">
        <v>30</v>
      </c>
      <c r="S410" t="str">
        <v>Beauty</v>
      </c>
      <c r="T410">
        <v>2</v>
      </c>
      <c r="U410">
        <v>300</v>
      </c>
      <c r="V410">
        <v>600</v>
      </c>
      <c r="W410">
        <v>600</v>
      </c>
      <c r="X410">
        <v>2023</v>
      </c>
    </row>
    <row r="411" spans="1:24" x14ac:dyDescent="0.35">
      <c r="A411">
        <v>410</v>
      </c>
      <c r="B411" s="1">
        <v>45251</v>
      </c>
      <c r="C411" s="2" t="s">
        <v>12</v>
      </c>
      <c r="D411" s="2" t="s">
        <v>438</v>
      </c>
      <c r="E411" s="2" t="s">
        <v>18</v>
      </c>
      <c r="F411">
        <v>29</v>
      </c>
      <c r="G411" s="2" t="s">
        <v>19</v>
      </c>
      <c r="H411">
        <v>2</v>
      </c>
      <c r="I411">
        <v>50</v>
      </c>
      <c r="J411">
        <v>100</v>
      </c>
      <c r="K411">
        <v>100</v>
      </c>
      <c r="L411">
        <v>2023</v>
      </c>
      <c r="M411">
        <v>291</v>
      </c>
      <c r="N411">
        <v>44934</v>
      </c>
      <c r="O411" t="str">
        <v>January</v>
      </c>
      <c r="P411" t="str">
        <v>CUST291</v>
      </c>
      <c r="Q411" t="str">
        <v>Male</v>
      </c>
      <c r="R411">
        <v>60</v>
      </c>
      <c r="S411" t="str">
        <v>Clothing</v>
      </c>
      <c r="T411">
        <v>2</v>
      </c>
      <c r="U411">
        <v>300</v>
      </c>
      <c r="V411">
        <v>600</v>
      </c>
      <c r="W411">
        <v>600</v>
      </c>
      <c r="X411">
        <v>2023</v>
      </c>
    </row>
    <row r="412" spans="1:24" x14ac:dyDescent="0.35">
      <c r="A412">
        <v>411</v>
      </c>
      <c r="B412" s="1">
        <v>45062</v>
      </c>
      <c r="C412" s="2" t="s">
        <v>23</v>
      </c>
      <c r="D412" s="2" t="s">
        <v>439</v>
      </c>
      <c r="E412" s="2" t="s">
        <v>14</v>
      </c>
      <c r="F412">
        <v>62</v>
      </c>
      <c r="G412" s="2" t="s">
        <v>22</v>
      </c>
      <c r="H412">
        <v>4</v>
      </c>
      <c r="I412">
        <v>50</v>
      </c>
      <c r="J412">
        <v>200</v>
      </c>
      <c r="K412">
        <v>200</v>
      </c>
      <c r="L412">
        <v>2023</v>
      </c>
      <c r="M412">
        <v>292</v>
      </c>
      <c r="N412">
        <v>44974</v>
      </c>
      <c r="O412" t="str">
        <v>February</v>
      </c>
      <c r="P412" t="str">
        <v>CUST292</v>
      </c>
      <c r="Q412" t="str">
        <v>Male</v>
      </c>
      <c r="R412">
        <v>20</v>
      </c>
      <c r="S412" t="str">
        <v>Beauty</v>
      </c>
      <c r="T412">
        <v>4</v>
      </c>
      <c r="U412">
        <v>300</v>
      </c>
      <c r="V412">
        <v>1200</v>
      </c>
      <c r="W412">
        <v>1200</v>
      </c>
      <c r="X412">
        <v>2023</v>
      </c>
    </row>
    <row r="413" spans="1:24" x14ac:dyDescent="0.35">
      <c r="A413">
        <v>412</v>
      </c>
      <c r="B413" s="1">
        <v>45185</v>
      </c>
      <c r="C413" s="2" t="s">
        <v>44</v>
      </c>
      <c r="D413" s="2" t="s">
        <v>440</v>
      </c>
      <c r="E413" s="2" t="s">
        <v>18</v>
      </c>
      <c r="F413">
        <v>19</v>
      </c>
      <c r="G413" s="2" t="s">
        <v>22</v>
      </c>
      <c r="H413">
        <v>4</v>
      </c>
      <c r="I413">
        <v>500</v>
      </c>
      <c r="J413">
        <v>2000</v>
      </c>
      <c r="K413">
        <v>2000</v>
      </c>
      <c r="L413">
        <v>2023</v>
      </c>
      <c r="M413">
        <v>293</v>
      </c>
      <c r="N413">
        <v>45048</v>
      </c>
      <c r="O413" t="str">
        <v>May</v>
      </c>
      <c r="P413" t="str">
        <v>CUST293</v>
      </c>
      <c r="Q413" t="str">
        <v>Male</v>
      </c>
      <c r="R413">
        <v>50</v>
      </c>
      <c r="S413" t="str">
        <v>Electronics</v>
      </c>
      <c r="T413">
        <v>3</v>
      </c>
      <c r="U413">
        <v>30</v>
      </c>
      <c r="V413">
        <v>90</v>
      </c>
      <c r="W413">
        <v>90</v>
      </c>
      <c r="X413">
        <v>2023</v>
      </c>
    </row>
    <row r="414" spans="1:24" x14ac:dyDescent="0.35">
      <c r="A414">
        <v>413</v>
      </c>
      <c r="B414" s="1">
        <v>45177</v>
      </c>
      <c r="C414" s="2" t="s">
        <v>44</v>
      </c>
      <c r="D414" s="2" t="s">
        <v>441</v>
      </c>
      <c r="E414" s="2" t="s">
        <v>18</v>
      </c>
      <c r="F414">
        <v>44</v>
      </c>
      <c r="G414" s="2" t="s">
        <v>15</v>
      </c>
      <c r="H414">
        <v>3</v>
      </c>
      <c r="I414">
        <v>25</v>
      </c>
      <c r="J414">
        <v>75</v>
      </c>
      <c r="K414">
        <v>75</v>
      </c>
      <c r="L414">
        <v>2023</v>
      </c>
      <c r="M414">
        <v>294</v>
      </c>
      <c r="N414">
        <v>45012</v>
      </c>
      <c r="O414" t="str">
        <v>March</v>
      </c>
      <c r="P414" t="str">
        <v>CUST294</v>
      </c>
      <c r="Q414" t="str">
        <v>Female</v>
      </c>
      <c r="R414">
        <v>23</v>
      </c>
      <c r="S414" t="str">
        <v>Clothing</v>
      </c>
      <c r="T414">
        <v>3</v>
      </c>
      <c r="U414">
        <v>30</v>
      </c>
      <c r="V414">
        <v>90</v>
      </c>
      <c r="W414">
        <v>90</v>
      </c>
      <c r="X414">
        <v>2023</v>
      </c>
    </row>
    <row r="415" spans="1:24" x14ac:dyDescent="0.35">
      <c r="A415">
        <v>414</v>
      </c>
      <c r="B415" s="1">
        <v>45055</v>
      </c>
      <c r="C415" s="2" t="s">
        <v>23</v>
      </c>
      <c r="D415" s="2" t="s">
        <v>442</v>
      </c>
      <c r="E415" s="2" t="s">
        <v>14</v>
      </c>
      <c r="F415">
        <v>48</v>
      </c>
      <c r="G415" s="2" t="s">
        <v>15</v>
      </c>
      <c r="H415">
        <v>4</v>
      </c>
      <c r="I415">
        <v>25</v>
      </c>
      <c r="J415">
        <v>100</v>
      </c>
      <c r="K415">
        <v>100</v>
      </c>
      <c r="L415">
        <v>2023</v>
      </c>
      <c r="M415">
        <v>295</v>
      </c>
      <c r="N415">
        <v>45135</v>
      </c>
      <c r="O415" t="str">
        <v>July</v>
      </c>
      <c r="P415" t="str">
        <v>CUST295</v>
      </c>
      <c r="Q415" t="str">
        <v>Female</v>
      </c>
      <c r="R415">
        <v>27</v>
      </c>
      <c r="S415" t="str">
        <v>Beauty</v>
      </c>
      <c r="T415">
        <v>3</v>
      </c>
      <c r="U415">
        <v>300</v>
      </c>
      <c r="V415">
        <v>900</v>
      </c>
      <c r="W415">
        <v>900</v>
      </c>
      <c r="X415">
        <v>2023</v>
      </c>
    </row>
    <row r="416" spans="1:24" x14ac:dyDescent="0.35">
      <c r="A416">
        <v>415</v>
      </c>
      <c r="B416" s="1">
        <v>44953</v>
      </c>
      <c r="C416" s="2" t="s">
        <v>20</v>
      </c>
      <c r="D416" s="2" t="s">
        <v>443</v>
      </c>
      <c r="E416" s="2" t="s">
        <v>14</v>
      </c>
      <c r="F416">
        <v>53</v>
      </c>
      <c r="G416" s="2" t="s">
        <v>19</v>
      </c>
      <c r="H416">
        <v>2</v>
      </c>
      <c r="I416">
        <v>30</v>
      </c>
      <c r="J416">
        <v>60</v>
      </c>
      <c r="K416">
        <v>60</v>
      </c>
      <c r="L416">
        <v>2023</v>
      </c>
      <c r="M416">
        <v>296</v>
      </c>
      <c r="N416">
        <v>45175</v>
      </c>
      <c r="O416" t="str">
        <v>September</v>
      </c>
      <c r="P416" t="str">
        <v>CUST296</v>
      </c>
      <c r="Q416" t="str">
        <v>Female</v>
      </c>
      <c r="R416">
        <v>22</v>
      </c>
      <c r="S416" t="str">
        <v>Clothing</v>
      </c>
      <c r="T416">
        <v>4</v>
      </c>
      <c r="U416">
        <v>300</v>
      </c>
      <c r="V416">
        <v>1200</v>
      </c>
      <c r="W416">
        <v>1200</v>
      </c>
      <c r="X416">
        <v>2023</v>
      </c>
    </row>
    <row r="417" spans="1:24" x14ac:dyDescent="0.35">
      <c r="A417">
        <v>416</v>
      </c>
      <c r="B417" s="1">
        <v>44974</v>
      </c>
      <c r="C417" s="2" t="s">
        <v>16</v>
      </c>
      <c r="D417" s="2" t="s">
        <v>444</v>
      </c>
      <c r="E417" s="2" t="s">
        <v>14</v>
      </c>
      <c r="F417">
        <v>53</v>
      </c>
      <c r="G417" s="2" t="s">
        <v>22</v>
      </c>
      <c r="H417">
        <v>4</v>
      </c>
      <c r="I417">
        <v>500</v>
      </c>
      <c r="J417">
        <v>2000</v>
      </c>
      <c r="K417">
        <v>2000</v>
      </c>
      <c r="L417">
        <v>2023</v>
      </c>
      <c r="M417">
        <v>297</v>
      </c>
      <c r="N417">
        <v>45173</v>
      </c>
      <c r="O417" t="str">
        <v>September</v>
      </c>
      <c r="P417" t="str">
        <v>CUST297</v>
      </c>
      <c r="Q417" t="str">
        <v>Female</v>
      </c>
      <c r="R417">
        <v>40</v>
      </c>
      <c r="S417" t="str">
        <v>Electronics</v>
      </c>
      <c r="T417">
        <v>2</v>
      </c>
      <c r="U417">
        <v>500</v>
      </c>
      <c r="V417">
        <v>1000</v>
      </c>
      <c r="W417">
        <v>1000</v>
      </c>
      <c r="X417">
        <v>2023</v>
      </c>
    </row>
    <row r="418" spans="1:24" x14ac:dyDescent="0.35">
      <c r="A418">
        <v>417</v>
      </c>
      <c r="B418" s="1">
        <v>45251</v>
      </c>
      <c r="C418" s="2" t="s">
        <v>12</v>
      </c>
      <c r="D418" s="2" t="s">
        <v>445</v>
      </c>
      <c r="E418" s="2" t="s">
        <v>14</v>
      </c>
      <c r="F418">
        <v>43</v>
      </c>
      <c r="G418" s="2" t="s">
        <v>22</v>
      </c>
      <c r="H418">
        <v>3</v>
      </c>
      <c r="I418">
        <v>300</v>
      </c>
      <c r="J418">
        <v>900</v>
      </c>
      <c r="K418">
        <v>900</v>
      </c>
      <c r="L418">
        <v>2023</v>
      </c>
      <c r="M418">
        <v>298</v>
      </c>
      <c r="N418">
        <v>45036</v>
      </c>
      <c r="O418" t="str">
        <v>April</v>
      </c>
      <c r="P418" t="str">
        <v>CUST298</v>
      </c>
      <c r="Q418" t="str">
        <v>Male</v>
      </c>
      <c r="R418">
        <v>27</v>
      </c>
      <c r="S418" t="str">
        <v>Beauty</v>
      </c>
      <c r="T418">
        <v>4</v>
      </c>
      <c r="U418">
        <v>300</v>
      </c>
      <c r="V418">
        <v>1200</v>
      </c>
      <c r="W418">
        <v>1200</v>
      </c>
      <c r="X418">
        <v>2023</v>
      </c>
    </row>
    <row r="419" spans="1:24" x14ac:dyDescent="0.35">
      <c r="A419">
        <v>418</v>
      </c>
      <c r="B419" s="1">
        <v>45143</v>
      </c>
      <c r="C419" s="2" t="s">
        <v>37</v>
      </c>
      <c r="D419" s="2" t="s">
        <v>446</v>
      </c>
      <c r="E419" s="2" t="s">
        <v>18</v>
      </c>
      <c r="F419">
        <v>60</v>
      </c>
      <c r="G419" s="2" t="s">
        <v>22</v>
      </c>
      <c r="H419">
        <v>2</v>
      </c>
      <c r="I419">
        <v>500</v>
      </c>
      <c r="J419">
        <v>1000</v>
      </c>
      <c r="K419">
        <v>1000</v>
      </c>
      <c r="L419">
        <v>2023</v>
      </c>
      <c r="M419">
        <v>299</v>
      </c>
      <c r="N419">
        <v>45132</v>
      </c>
      <c r="O419" t="str">
        <v>July</v>
      </c>
      <c r="P419" t="str">
        <v>CUST299</v>
      </c>
      <c r="Q419" t="str">
        <v>Male</v>
      </c>
      <c r="R419">
        <v>61</v>
      </c>
      <c r="S419" t="str">
        <v>Electronics</v>
      </c>
      <c r="T419">
        <v>2</v>
      </c>
      <c r="U419">
        <v>500</v>
      </c>
      <c r="V419">
        <v>1000</v>
      </c>
      <c r="W419">
        <v>1000</v>
      </c>
      <c r="X419">
        <v>2023</v>
      </c>
    </row>
    <row r="420" spans="1:24" x14ac:dyDescent="0.35">
      <c r="A420">
        <v>419</v>
      </c>
      <c r="B420" s="1">
        <v>45068</v>
      </c>
      <c r="C420" s="2" t="s">
        <v>23</v>
      </c>
      <c r="D420" s="2" t="s">
        <v>447</v>
      </c>
      <c r="E420" s="2" t="s">
        <v>18</v>
      </c>
      <c r="F420">
        <v>44</v>
      </c>
      <c r="G420" s="2" t="s">
        <v>19</v>
      </c>
      <c r="H420">
        <v>3</v>
      </c>
      <c r="I420">
        <v>30</v>
      </c>
      <c r="J420">
        <v>90</v>
      </c>
      <c r="K420">
        <v>90</v>
      </c>
      <c r="L420">
        <v>2023</v>
      </c>
      <c r="M420">
        <v>300</v>
      </c>
      <c r="N420">
        <v>44957</v>
      </c>
      <c r="O420" t="str">
        <v>January</v>
      </c>
      <c r="P420" t="str">
        <v>CUST300</v>
      </c>
      <c r="Q420" t="str">
        <v>Female</v>
      </c>
      <c r="R420">
        <v>19</v>
      </c>
      <c r="S420" t="str">
        <v>Electronics</v>
      </c>
      <c r="T420">
        <v>4</v>
      </c>
      <c r="U420">
        <v>50</v>
      </c>
      <c r="V420">
        <v>200</v>
      </c>
      <c r="W420">
        <v>200</v>
      </c>
      <c r="X420">
        <v>2023</v>
      </c>
    </row>
    <row r="421" spans="1:24" x14ac:dyDescent="0.35">
      <c r="A421">
        <v>420</v>
      </c>
      <c r="B421" s="1">
        <v>44949</v>
      </c>
      <c r="C421" s="2" t="s">
        <v>20</v>
      </c>
      <c r="D421" s="2" t="s">
        <v>448</v>
      </c>
      <c r="E421" s="2" t="s">
        <v>18</v>
      </c>
      <c r="F421">
        <v>22</v>
      </c>
      <c r="G421" s="2" t="s">
        <v>19</v>
      </c>
      <c r="H421">
        <v>4</v>
      </c>
      <c r="I421">
        <v>500</v>
      </c>
      <c r="J421">
        <v>2000</v>
      </c>
      <c r="K421">
        <v>2000</v>
      </c>
      <c r="L421">
        <v>2023</v>
      </c>
      <c r="M421">
        <v>301</v>
      </c>
      <c r="N421">
        <v>45011</v>
      </c>
      <c r="O421" t="str">
        <v>March</v>
      </c>
      <c r="P421" t="str">
        <v>CUST301</v>
      </c>
      <c r="Q421" t="str">
        <v>Male</v>
      </c>
      <c r="R421">
        <v>30</v>
      </c>
      <c r="S421" t="str">
        <v>Clothing</v>
      </c>
      <c r="T421">
        <v>4</v>
      </c>
      <c r="U421">
        <v>30</v>
      </c>
      <c r="V421">
        <v>120</v>
      </c>
      <c r="W421">
        <v>120</v>
      </c>
      <c r="X421">
        <v>2023</v>
      </c>
    </row>
    <row r="422" spans="1:24" x14ac:dyDescent="0.35">
      <c r="A422">
        <v>421</v>
      </c>
      <c r="B422" s="1">
        <v>44928</v>
      </c>
      <c r="C422" s="2" t="s">
        <v>20</v>
      </c>
      <c r="D422" s="2" t="s">
        <v>449</v>
      </c>
      <c r="E422" s="2" t="s">
        <v>18</v>
      </c>
      <c r="F422">
        <v>37</v>
      </c>
      <c r="G422" s="2" t="s">
        <v>19</v>
      </c>
      <c r="H422">
        <v>3</v>
      </c>
      <c r="I422">
        <v>500</v>
      </c>
      <c r="J422">
        <v>1500</v>
      </c>
      <c r="K422">
        <v>1500</v>
      </c>
      <c r="L422">
        <v>2023</v>
      </c>
      <c r="M422">
        <v>302</v>
      </c>
      <c r="N422">
        <v>45121</v>
      </c>
      <c r="O422" t="str">
        <v>July</v>
      </c>
      <c r="P422" t="str">
        <v>CUST302</v>
      </c>
      <c r="Q422" t="str">
        <v>Male</v>
      </c>
      <c r="R422">
        <v>57</v>
      </c>
      <c r="S422" t="str">
        <v>Beauty</v>
      </c>
      <c r="T422">
        <v>2</v>
      </c>
      <c r="U422">
        <v>300</v>
      </c>
      <c r="V422">
        <v>600</v>
      </c>
      <c r="W422">
        <v>600</v>
      </c>
      <c r="X422">
        <v>2023</v>
      </c>
    </row>
    <row r="423" spans="1:24" x14ac:dyDescent="0.35">
      <c r="A423">
        <v>422</v>
      </c>
      <c r="B423" s="1">
        <v>45097</v>
      </c>
      <c r="C423" s="2" t="s">
        <v>62</v>
      </c>
      <c r="D423" s="2" t="s">
        <v>450</v>
      </c>
      <c r="E423" s="2" t="s">
        <v>18</v>
      </c>
      <c r="F423">
        <v>28</v>
      </c>
      <c r="G423" s="2" t="s">
        <v>19</v>
      </c>
      <c r="H423">
        <v>3</v>
      </c>
      <c r="I423">
        <v>30</v>
      </c>
      <c r="J423">
        <v>90</v>
      </c>
      <c r="K423">
        <v>90</v>
      </c>
      <c r="L423">
        <v>2023</v>
      </c>
      <c r="M423">
        <v>303</v>
      </c>
      <c r="N423">
        <v>44928</v>
      </c>
      <c r="O423" t="str">
        <v>January</v>
      </c>
      <c r="P423" t="str">
        <v>CUST303</v>
      </c>
      <c r="Q423" t="str">
        <v>Male</v>
      </c>
      <c r="R423">
        <v>19</v>
      </c>
      <c r="S423" t="str">
        <v>Electronics</v>
      </c>
      <c r="T423">
        <v>3</v>
      </c>
      <c r="U423">
        <v>30</v>
      </c>
      <c r="V423">
        <v>90</v>
      </c>
      <c r="W423">
        <v>90</v>
      </c>
      <c r="X423">
        <v>2023</v>
      </c>
    </row>
    <row r="424" spans="1:24" x14ac:dyDescent="0.35">
      <c r="A424">
        <v>423</v>
      </c>
      <c r="B424" s="1">
        <v>44993</v>
      </c>
      <c r="C424" s="2" t="s">
        <v>28</v>
      </c>
      <c r="D424" s="2" t="s">
        <v>451</v>
      </c>
      <c r="E424" s="2" t="s">
        <v>18</v>
      </c>
      <c r="F424">
        <v>27</v>
      </c>
      <c r="G424" s="2" t="s">
        <v>19</v>
      </c>
      <c r="H424">
        <v>1</v>
      </c>
      <c r="I424">
        <v>25</v>
      </c>
      <c r="J424">
        <v>25</v>
      </c>
      <c r="K424">
        <v>25</v>
      </c>
      <c r="L424">
        <v>2023</v>
      </c>
      <c r="M424">
        <v>304</v>
      </c>
      <c r="N424">
        <v>45126</v>
      </c>
      <c r="O424" t="str">
        <v>July</v>
      </c>
      <c r="P424" t="str">
        <v>CUST304</v>
      </c>
      <c r="Q424" t="str">
        <v>Female</v>
      </c>
      <c r="R424">
        <v>37</v>
      </c>
      <c r="S424" t="str">
        <v>Electronics</v>
      </c>
      <c r="T424">
        <v>2</v>
      </c>
      <c r="U424">
        <v>30</v>
      </c>
      <c r="V424">
        <v>60</v>
      </c>
      <c r="W424">
        <v>60</v>
      </c>
      <c r="X424">
        <v>2023</v>
      </c>
    </row>
    <row r="425" spans="1:24" x14ac:dyDescent="0.35">
      <c r="A425">
        <v>424</v>
      </c>
      <c r="B425" s="1">
        <v>45253</v>
      </c>
      <c r="C425" s="2" t="s">
        <v>12</v>
      </c>
      <c r="D425" s="2" t="s">
        <v>452</v>
      </c>
      <c r="E425" s="2" t="s">
        <v>14</v>
      </c>
      <c r="F425">
        <v>57</v>
      </c>
      <c r="G425" s="2" t="s">
        <v>15</v>
      </c>
      <c r="H425">
        <v>4</v>
      </c>
      <c r="I425">
        <v>300</v>
      </c>
      <c r="J425">
        <v>1200</v>
      </c>
      <c r="K425">
        <v>1200</v>
      </c>
      <c r="L425">
        <v>2023</v>
      </c>
      <c r="M425">
        <v>305</v>
      </c>
      <c r="N425">
        <v>45062</v>
      </c>
      <c r="O425" t="str">
        <v>May</v>
      </c>
      <c r="P425" t="str">
        <v>CUST305</v>
      </c>
      <c r="Q425" t="str">
        <v>Female</v>
      </c>
      <c r="R425">
        <v>18</v>
      </c>
      <c r="S425" t="str">
        <v>Beauty</v>
      </c>
      <c r="T425">
        <v>1</v>
      </c>
      <c r="U425">
        <v>30</v>
      </c>
      <c r="V425">
        <v>30</v>
      </c>
      <c r="W425">
        <v>30</v>
      </c>
      <c r="X425">
        <v>2023</v>
      </c>
    </row>
    <row r="426" spans="1:24" x14ac:dyDescent="0.35">
      <c r="A426">
        <v>425</v>
      </c>
      <c r="B426" s="1">
        <v>45061</v>
      </c>
      <c r="C426" s="2" t="s">
        <v>23</v>
      </c>
      <c r="D426" s="2" t="s">
        <v>453</v>
      </c>
      <c r="E426" s="2" t="s">
        <v>18</v>
      </c>
      <c r="F426">
        <v>55</v>
      </c>
      <c r="G426" s="2" t="s">
        <v>22</v>
      </c>
      <c r="H426">
        <v>4</v>
      </c>
      <c r="I426">
        <v>30</v>
      </c>
      <c r="J426">
        <v>120</v>
      </c>
      <c r="K426">
        <v>120</v>
      </c>
      <c r="L426">
        <v>2023</v>
      </c>
      <c r="M426">
        <v>306</v>
      </c>
      <c r="N426">
        <v>45159</v>
      </c>
      <c r="O426" t="str">
        <v>August</v>
      </c>
      <c r="P426" t="str">
        <v>CUST306</v>
      </c>
      <c r="Q426" t="str">
        <v>Male</v>
      </c>
      <c r="R426">
        <v>54</v>
      </c>
      <c r="S426" t="str">
        <v>Electronics</v>
      </c>
      <c r="T426">
        <v>1</v>
      </c>
      <c r="U426">
        <v>50</v>
      </c>
      <c r="V426">
        <v>50</v>
      </c>
      <c r="W426">
        <v>50</v>
      </c>
      <c r="X426">
        <v>2023</v>
      </c>
    </row>
    <row r="427" spans="1:24" x14ac:dyDescent="0.35">
      <c r="A427">
        <v>426</v>
      </c>
      <c r="B427" s="1">
        <v>45009</v>
      </c>
      <c r="C427" s="2" t="s">
        <v>28</v>
      </c>
      <c r="D427" s="2" t="s">
        <v>454</v>
      </c>
      <c r="E427" s="2" t="s">
        <v>14</v>
      </c>
      <c r="F427">
        <v>23</v>
      </c>
      <c r="G427" s="2" t="s">
        <v>22</v>
      </c>
      <c r="H427">
        <v>3</v>
      </c>
      <c r="I427">
        <v>50</v>
      </c>
      <c r="J427">
        <v>150</v>
      </c>
      <c r="K427">
        <v>150</v>
      </c>
      <c r="L427">
        <v>2023</v>
      </c>
      <c r="M427">
        <v>307</v>
      </c>
      <c r="N427">
        <v>45073</v>
      </c>
      <c r="O427" t="str">
        <v>May</v>
      </c>
      <c r="P427" t="str">
        <v>CUST307</v>
      </c>
      <c r="Q427" t="str">
        <v>Female</v>
      </c>
      <c r="R427">
        <v>26</v>
      </c>
      <c r="S427" t="str">
        <v>Electronics</v>
      </c>
      <c r="T427">
        <v>2</v>
      </c>
      <c r="U427">
        <v>25</v>
      </c>
      <c r="V427">
        <v>50</v>
      </c>
      <c r="W427">
        <v>50</v>
      </c>
      <c r="X427">
        <v>2023</v>
      </c>
    </row>
    <row r="428" spans="1:24" x14ac:dyDescent="0.35">
      <c r="A428">
        <v>427</v>
      </c>
      <c r="B428" s="1">
        <v>45153</v>
      </c>
      <c r="C428" s="2" t="s">
        <v>37</v>
      </c>
      <c r="D428" s="2" t="s">
        <v>455</v>
      </c>
      <c r="E428" s="2" t="s">
        <v>14</v>
      </c>
      <c r="F428">
        <v>25</v>
      </c>
      <c r="G428" s="2" t="s">
        <v>22</v>
      </c>
      <c r="H428">
        <v>1</v>
      </c>
      <c r="I428">
        <v>25</v>
      </c>
      <c r="J428">
        <v>25</v>
      </c>
      <c r="K428">
        <v>25</v>
      </c>
      <c r="L428">
        <v>2023</v>
      </c>
      <c r="M428">
        <v>308</v>
      </c>
      <c r="N428">
        <v>45143</v>
      </c>
      <c r="O428" t="str">
        <v>August</v>
      </c>
      <c r="P428" t="str">
        <v>CUST308</v>
      </c>
      <c r="Q428" t="str">
        <v>Female</v>
      </c>
      <c r="R428">
        <v>34</v>
      </c>
      <c r="S428" t="str">
        <v>Beauty</v>
      </c>
      <c r="T428">
        <v>4</v>
      </c>
      <c r="U428">
        <v>300</v>
      </c>
      <c r="V428">
        <v>1200</v>
      </c>
      <c r="W428">
        <v>1200</v>
      </c>
      <c r="X428">
        <v>2023</v>
      </c>
    </row>
    <row r="429" spans="1:24" x14ac:dyDescent="0.35">
      <c r="A429">
        <v>428</v>
      </c>
      <c r="B429" s="1">
        <v>45209</v>
      </c>
      <c r="C429" s="2" t="s">
        <v>33</v>
      </c>
      <c r="D429" s="2" t="s">
        <v>456</v>
      </c>
      <c r="E429" s="2" t="s">
        <v>18</v>
      </c>
      <c r="F429">
        <v>40</v>
      </c>
      <c r="G429" s="2" t="s">
        <v>22</v>
      </c>
      <c r="H429">
        <v>4</v>
      </c>
      <c r="I429">
        <v>50</v>
      </c>
      <c r="J429">
        <v>200</v>
      </c>
      <c r="K429">
        <v>200</v>
      </c>
      <c r="L429">
        <v>2023</v>
      </c>
      <c r="M429">
        <v>309</v>
      </c>
      <c r="N429">
        <v>45283</v>
      </c>
      <c r="O429" t="str">
        <v>December</v>
      </c>
      <c r="P429" t="str">
        <v>CUST309</v>
      </c>
      <c r="Q429" t="str">
        <v>Female</v>
      </c>
      <c r="R429">
        <v>26</v>
      </c>
      <c r="S429" t="str">
        <v>Beauty</v>
      </c>
      <c r="T429">
        <v>1</v>
      </c>
      <c r="U429">
        <v>25</v>
      </c>
      <c r="V429">
        <v>25</v>
      </c>
      <c r="W429">
        <v>25</v>
      </c>
      <c r="X429">
        <v>2023</v>
      </c>
    </row>
    <row r="430" spans="1:24" x14ac:dyDescent="0.35">
      <c r="A430">
        <v>429</v>
      </c>
      <c r="B430" s="1">
        <v>45288</v>
      </c>
      <c r="C430" s="2" t="s">
        <v>31</v>
      </c>
      <c r="D430" s="2" t="s">
        <v>457</v>
      </c>
      <c r="E430" s="2" t="s">
        <v>14</v>
      </c>
      <c r="F430">
        <v>64</v>
      </c>
      <c r="G430" s="2" t="s">
        <v>22</v>
      </c>
      <c r="H430">
        <v>2</v>
      </c>
      <c r="I430">
        <v>25</v>
      </c>
      <c r="J430">
        <v>50</v>
      </c>
      <c r="K430">
        <v>50</v>
      </c>
      <c r="L430">
        <v>2023</v>
      </c>
      <c r="M430">
        <v>310</v>
      </c>
      <c r="N430">
        <v>45211</v>
      </c>
      <c r="O430" t="str">
        <v>October</v>
      </c>
      <c r="P430" t="str">
        <v>CUST310</v>
      </c>
      <c r="Q430" t="str">
        <v>Female</v>
      </c>
      <c r="R430">
        <v>28</v>
      </c>
      <c r="S430" t="str">
        <v>Beauty</v>
      </c>
      <c r="T430">
        <v>1</v>
      </c>
      <c r="U430">
        <v>25</v>
      </c>
      <c r="V430">
        <v>25</v>
      </c>
      <c r="W430">
        <v>25</v>
      </c>
      <c r="X430">
        <v>2023</v>
      </c>
    </row>
    <row r="431" spans="1:24" x14ac:dyDescent="0.35">
      <c r="A431">
        <v>430</v>
      </c>
      <c r="B431" s="1">
        <v>45145</v>
      </c>
      <c r="C431" s="2" t="s">
        <v>37</v>
      </c>
      <c r="D431" s="2" t="s">
        <v>458</v>
      </c>
      <c r="E431" s="2" t="s">
        <v>18</v>
      </c>
      <c r="F431">
        <v>43</v>
      </c>
      <c r="G431" s="2" t="s">
        <v>22</v>
      </c>
      <c r="H431">
        <v>3</v>
      </c>
      <c r="I431">
        <v>300</v>
      </c>
      <c r="J431">
        <v>900</v>
      </c>
      <c r="K431">
        <v>900</v>
      </c>
      <c r="L431">
        <v>2023</v>
      </c>
      <c r="M431">
        <v>311</v>
      </c>
      <c r="N431">
        <v>45265</v>
      </c>
      <c r="O431" t="str">
        <v>December</v>
      </c>
      <c r="P431" t="str">
        <v>CUST311</v>
      </c>
      <c r="Q431" t="str">
        <v>Female</v>
      </c>
      <c r="R431">
        <v>32</v>
      </c>
      <c r="S431" t="str">
        <v>Beauty</v>
      </c>
      <c r="T431">
        <v>4</v>
      </c>
      <c r="U431">
        <v>25</v>
      </c>
      <c r="V431">
        <v>100</v>
      </c>
      <c r="W431">
        <v>100</v>
      </c>
      <c r="X431">
        <v>2023</v>
      </c>
    </row>
    <row r="432" spans="1:24" x14ac:dyDescent="0.35">
      <c r="A432">
        <v>431</v>
      </c>
      <c r="B432" s="1">
        <v>45214</v>
      </c>
      <c r="C432" s="2" t="s">
        <v>33</v>
      </c>
      <c r="D432" s="2" t="s">
        <v>459</v>
      </c>
      <c r="E432" s="2" t="s">
        <v>14</v>
      </c>
      <c r="F432">
        <v>63</v>
      </c>
      <c r="G432" s="2" t="s">
        <v>22</v>
      </c>
      <c r="H432">
        <v>4</v>
      </c>
      <c r="I432">
        <v>300</v>
      </c>
      <c r="J432">
        <v>1200</v>
      </c>
      <c r="K432">
        <v>1200</v>
      </c>
      <c r="L432">
        <v>2023</v>
      </c>
      <c r="M432">
        <v>312</v>
      </c>
      <c r="N432">
        <v>45176</v>
      </c>
      <c r="O432" t="str">
        <v>September</v>
      </c>
      <c r="P432" t="str">
        <v>CUST312</v>
      </c>
      <c r="Q432" t="str">
        <v>Male</v>
      </c>
      <c r="R432">
        <v>41</v>
      </c>
      <c r="S432" t="str">
        <v>Clothing</v>
      </c>
      <c r="T432">
        <v>4</v>
      </c>
      <c r="U432">
        <v>30</v>
      </c>
      <c r="V432">
        <v>120</v>
      </c>
      <c r="W432">
        <v>120</v>
      </c>
      <c r="X432">
        <v>2023</v>
      </c>
    </row>
    <row r="433" spans="1:24" x14ac:dyDescent="0.35">
      <c r="A433">
        <v>432</v>
      </c>
      <c r="B433" s="1">
        <v>44931</v>
      </c>
      <c r="C433" s="2" t="s">
        <v>20</v>
      </c>
      <c r="D433" s="2" t="s">
        <v>460</v>
      </c>
      <c r="E433" s="2" t="s">
        <v>18</v>
      </c>
      <c r="F433">
        <v>60</v>
      </c>
      <c r="G433" s="2" t="s">
        <v>22</v>
      </c>
      <c r="H433">
        <v>2</v>
      </c>
      <c r="I433">
        <v>500</v>
      </c>
      <c r="J433">
        <v>1000</v>
      </c>
      <c r="K433">
        <v>1000</v>
      </c>
      <c r="L433">
        <v>2023</v>
      </c>
      <c r="M433">
        <v>313</v>
      </c>
      <c r="N433">
        <v>45006</v>
      </c>
      <c r="O433" t="str">
        <v>March</v>
      </c>
      <c r="P433" t="str">
        <v>CUST313</v>
      </c>
      <c r="Q433" t="str">
        <v>Female</v>
      </c>
      <c r="R433">
        <v>55</v>
      </c>
      <c r="S433" t="str">
        <v>Beauty</v>
      </c>
      <c r="T433">
        <v>3</v>
      </c>
      <c r="U433">
        <v>500</v>
      </c>
      <c r="V433">
        <v>1500</v>
      </c>
      <c r="W433">
        <v>1500</v>
      </c>
      <c r="X433">
        <v>2023</v>
      </c>
    </row>
    <row r="434" spans="1:24" x14ac:dyDescent="0.35">
      <c r="A434">
        <v>433</v>
      </c>
      <c r="B434" s="1">
        <v>44984</v>
      </c>
      <c r="C434" s="2" t="s">
        <v>16</v>
      </c>
      <c r="D434" s="2" t="s">
        <v>461</v>
      </c>
      <c r="E434" s="2" t="s">
        <v>14</v>
      </c>
      <c r="F434">
        <v>29</v>
      </c>
      <c r="G434" s="2" t="s">
        <v>15</v>
      </c>
      <c r="H434">
        <v>4</v>
      </c>
      <c r="I434">
        <v>50</v>
      </c>
      <c r="J434">
        <v>200</v>
      </c>
      <c r="K434">
        <v>200</v>
      </c>
      <c r="L434">
        <v>2023</v>
      </c>
      <c r="M434">
        <v>314</v>
      </c>
      <c r="N434">
        <v>45024</v>
      </c>
      <c r="O434" t="str">
        <v>April</v>
      </c>
      <c r="P434" t="str">
        <v>CUST314</v>
      </c>
      <c r="Q434" t="str">
        <v>Male</v>
      </c>
      <c r="R434">
        <v>52</v>
      </c>
      <c r="S434" t="str">
        <v>Clothing</v>
      </c>
      <c r="T434">
        <v>4</v>
      </c>
      <c r="U434">
        <v>30</v>
      </c>
      <c r="V434">
        <v>120</v>
      </c>
      <c r="W434">
        <v>120</v>
      </c>
      <c r="X434">
        <v>2023</v>
      </c>
    </row>
    <row r="435" spans="1:24" x14ac:dyDescent="0.35">
      <c r="A435">
        <v>434</v>
      </c>
      <c r="B435" s="1">
        <v>44965</v>
      </c>
      <c r="C435" s="2" t="s">
        <v>16</v>
      </c>
      <c r="D435" s="2" t="s">
        <v>462</v>
      </c>
      <c r="E435" s="2" t="s">
        <v>18</v>
      </c>
      <c r="F435">
        <v>43</v>
      </c>
      <c r="G435" s="2" t="s">
        <v>22</v>
      </c>
      <c r="H435">
        <v>2</v>
      </c>
      <c r="I435">
        <v>25</v>
      </c>
      <c r="J435">
        <v>50</v>
      </c>
      <c r="K435">
        <v>50</v>
      </c>
      <c r="L435">
        <v>2023</v>
      </c>
      <c r="M435">
        <v>315</v>
      </c>
      <c r="N435">
        <v>45078</v>
      </c>
      <c r="O435" t="str">
        <v>June</v>
      </c>
      <c r="P435" t="str">
        <v>CUST315</v>
      </c>
      <c r="Q435" t="str">
        <v>Male</v>
      </c>
      <c r="R435">
        <v>47</v>
      </c>
      <c r="S435" t="str">
        <v>Clothing</v>
      </c>
      <c r="T435">
        <v>2</v>
      </c>
      <c r="U435">
        <v>30</v>
      </c>
      <c r="V435">
        <v>60</v>
      </c>
      <c r="W435">
        <v>60</v>
      </c>
      <c r="X435">
        <v>2023</v>
      </c>
    </row>
    <row r="436" spans="1:24" x14ac:dyDescent="0.35">
      <c r="A436">
        <v>435</v>
      </c>
      <c r="B436" s="1">
        <v>45280</v>
      </c>
      <c r="C436" s="2" t="s">
        <v>31</v>
      </c>
      <c r="D436" s="2" t="s">
        <v>463</v>
      </c>
      <c r="E436" s="2" t="s">
        <v>18</v>
      </c>
      <c r="F436">
        <v>30</v>
      </c>
      <c r="G436" s="2" t="s">
        <v>15</v>
      </c>
      <c r="H436">
        <v>3</v>
      </c>
      <c r="I436">
        <v>300</v>
      </c>
      <c r="J436">
        <v>900</v>
      </c>
      <c r="K436">
        <v>900</v>
      </c>
      <c r="L436">
        <v>2023</v>
      </c>
      <c r="M436">
        <v>316</v>
      </c>
      <c r="N436">
        <v>45038</v>
      </c>
      <c r="O436" t="str">
        <v>April</v>
      </c>
      <c r="P436" t="str">
        <v>CUST316</v>
      </c>
      <c r="Q436" t="str">
        <v>Female</v>
      </c>
      <c r="R436">
        <v>48</v>
      </c>
      <c r="S436" t="str">
        <v>Clothing</v>
      </c>
      <c r="T436">
        <v>2</v>
      </c>
      <c r="U436">
        <v>25</v>
      </c>
      <c r="V436">
        <v>50</v>
      </c>
      <c r="W436">
        <v>50</v>
      </c>
      <c r="X436">
        <v>2023</v>
      </c>
    </row>
    <row r="437" spans="1:24" x14ac:dyDescent="0.35">
      <c r="A437">
        <v>436</v>
      </c>
      <c r="B437" s="1">
        <v>45003</v>
      </c>
      <c r="C437" s="2" t="s">
        <v>28</v>
      </c>
      <c r="D437" s="2" t="s">
        <v>464</v>
      </c>
      <c r="E437" s="2" t="s">
        <v>18</v>
      </c>
      <c r="F437">
        <v>57</v>
      </c>
      <c r="G437" s="2" t="s">
        <v>19</v>
      </c>
      <c r="H437">
        <v>4</v>
      </c>
      <c r="I437">
        <v>30</v>
      </c>
      <c r="J437">
        <v>120</v>
      </c>
      <c r="K437">
        <v>120</v>
      </c>
      <c r="L437">
        <v>2023</v>
      </c>
      <c r="M437">
        <v>317</v>
      </c>
      <c r="N437">
        <v>44956</v>
      </c>
      <c r="O437" t="str">
        <v>January</v>
      </c>
      <c r="P437" t="str">
        <v>CUST317</v>
      </c>
      <c r="Q437" t="str">
        <v>Male</v>
      </c>
      <c r="R437">
        <v>22</v>
      </c>
      <c r="S437" t="str">
        <v>Electronics</v>
      </c>
      <c r="T437">
        <v>3</v>
      </c>
      <c r="U437">
        <v>30</v>
      </c>
      <c r="V437">
        <v>90</v>
      </c>
      <c r="W437">
        <v>90</v>
      </c>
      <c r="X437">
        <v>2023</v>
      </c>
    </row>
    <row r="438" spans="1:24" x14ac:dyDescent="0.35">
      <c r="A438">
        <v>437</v>
      </c>
      <c r="B438" s="1">
        <v>45206</v>
      </c>
      <c r="C438" s="2" t="s">
        <v>33</v>
      </c>
      <c r="D438" s="2" t="s">
        <v>465</v>
      </c>
      <c r="E438" s="2" t="s">
        <v>18</v>
      </c>
      <c r="F438">
        <v>35</v>
      </c>
      <c r="G438" s="2" t="s">
        <v>22</v>
      </c>
      <c r="H438">
        <v>4</v>
      </c>
      <c r="I438">
        <v>300</v>
      </c>
      <c r="J438">
        <v>1200</v>
      </c>
      <c r="K438">
        <v>1200</v>
      </c>
      <c r="L438">
        <v>2023</v>
      </c>
      <c r="M438">
        <v>318</v>
      </c>
      <c r="N438">
        <v>45223</v>
      </c>
      <c r="O438" t="str">
        <v>October</v>
      </c>
      <c r="P438" t="str">
        <v>CUST318</v>
      </c>
      <c r="Q438" t="str">
        <v>Male</v>
      </c>
      <c r="R438">
        <v>61</v>
      </c>
      <c r="S438" t="str">
        <v>Clothing</v>
      </c>
      <c r="T438">
        <v>1</v>
      </c>
      <c r="U438">
        <v>25</v>
      </c>
      <c r="V438">
        <v>25</v>
      </c>
      <c r="W438">
        <v>25</v>
      </c>
      <c r="X438">
        <v>2023</v>
      </c>
    </row>
    <row r="439" spans="1:24" x14ac:dyDescent="0.35">
      <c r="A439">
        <v>438</v>
      </c>
      <c r="B439" s="1">
        <v>44945</v>
      </c>
      <c r="C439" s="2" t="s">
        <v>20</v>
      </c>
      <c r="D439" s="2" t="s">
        <v>466</v>
      </c>
      <c r="E439" s="2" t="s">
        <v>18</v>
      </c>
      <c r="F439">
        <v>42</v>
      </c>
      <c r="G439" s="2" t="s">
        <v>19</v>
      </c>
      <c r="H439">
        <v>1</v>
      </c>
      <c r="I439">
        <v>30</v>
      </c>
      <c r="J439">
        <v>30</v>
      </c>
      <c r="K439">
        <v>30</v>
      </c>
      <c r="L439">
        <v>2023</v>
      </c>
      <c r="M439">
        <v>319</v>
      </c>
      <c r="N439">
        <v>45204</v>
      </c>
      <c r="O439" t="str">
        <v>October</v>
      </c>
      <c r="P439" t="str">
        <v>CUST319</v>
      </c>
      <c r="Q439" t="str">
        <v>Male</v>
      </c>
      <c r="R439">
        <v>31</v>
      </c>
      <c r="S439" t="str">
        <v>Clothing</v>
      </c>
      <c r="T439">
        <v>1</v>
      </c>
      <c r="U439">
        <v>500</v>
      </c>
      <c r="V439">
        <v>500</v>
      </c>
      <c r="W439">
        <v>500</v>
      </c>
      <c r="X439">
        <v>2023</v>
      </c>
    </row>
    <row r="440" spans="1:24" x14ac:dyDescent="0.35">
      <c r="A440">
        <v>439</v>
      </c>
      <c r="B440" s="1">
        <v>45116</v>
      </c>
      <c r="C440" s="2" t="s">
        <v>70</v>
      </c>
      <c r="D440" s="2" t="s">
        <v>467</v>
      </c>
      <c r="E440" s="2" t="s">
        <v>14</v>
      </c>
      <c r="F440">
        <v>50</v>
      </c>
      <c r="G440" s="2" t="s">
        <v>19</v>
      </c>
      <c r="H440">
        <v>3</v>
      </c>
      <c r="I440">
        <v>25</v>
      </c>
      <c r="J440">
        <v>75</v>
      </c>
      <c r="K440">
        <v>75</v>
      </c>
      <c r="L440">
        <v>2023</v>
      </c>
      <c r="M440">
        <v>320</v>
      </c>
      <c r="N440">
        <v>44958</v>
      </c>
      <c r="O440" t="str">
        <v>February</v>
      </c>
      <c r="P440" t="str">
        <v>CUST320</v>
      </c>
      <c r="Q440" t="str">
        <v>Female</v>
      </c>
      <c r="R440">
        <v>28</v>
      </c>
      <c r="S440" t="str">
        <v>Electronics</v>
      </c>
      <c r="T440">
        <v>4</v>
      </c>
      <c r="U440">
        <v>300</v>
      </c>
      <c r="V440">
        <v>1200</v>
      </c>
      <c r="W440">
        <v>1200</v>
      </c>
      <c r="X440">
        <v>2023</v>
      </c>
    </row>
    <row r="441" spans="1:24" x14ac:dyDescent="0.35">
      <c r="A441">
        <v>440</v>
      </c>
      <c r="B441" s="1">
        <v>45225</v>
      </c>
      <c r="C441" s="2" t="s">
        <v>33</v>
      </c>
      <c r="D441" s="2" t="s">
        <v>468</v>
      </c>
      <c r="E441" s="2" t="s">
        <v>14</v>
      </c>
      <c r="F441">
        <v>64</v>
      </c>
      <c r="G441" s="2" t="s">
        <v>19</v>
      </c>
      <c r="H441">
        <v>2</v>
      </c>
      <c r="I441">
        <v>300</v>
      </c>
      <c r="J441">
        <v>600</v>
      </c>
      <c r="K441">
        <v>600</v>
      </c>
      <c r="L441">
        <v>2023</v>
      </c>
      <c r="M441">
        <v>321</v>
      </c>
      <c r="N441">
        <v>45087</v>
      </c>
      <c r="O441" t="str">
        <v>June</v>
      </c>
      <c r="P441" t="str">
        <v>CUST321</v>
      </c>
      <c r="Q441" t="str">
        <v>Female</v>
      </c>
      <c r="R441">
        <v>26</v>
      </c>
      <c r="S441" t="str">
        <v>Electronics</v>
      </c>
      <c r="T441">
        <v>2</v>
      </c>
      <c r="U441">
        <v>25</v>
      </c>
      <c r="V441">
        <v>50</v>
      </c>
      <c r="W441">
        <v>50</v>
      </c>
      <c r="X441">
        <v>2023</v>
      </c>
    </row>
    <row r="442" spans="1:24" x14ac:dyDescent="0.35">
      <c r="A442">
        <v>441</v>
      </c>
      <c r="B442" s="1">
        <v>45209</v>
      </c>
      <c r="C442" s="2" t="s">
        <v>33</v>
      </c>
      <c r="D442" s="2" t="s">
        <v>469</v>
      </c>
      <c r="E442" s="2" t="s">
        <v>14</v>
      </c>
      <c r="F442">
        <v>57</v>
      </c>
      <c r="G442" s="2" t="s">
        <v>15</v>
      </c>
      <c r="H442">
        <v>4</v>
      </c>
      <c r="I442">
        <v>300</v>
      </c>
      <c r="J442">
        <v>1200</v>
      </c>
      <c r="K442">
        <v>1200</v>
      </c>
      <c r="L442">
        <v>2023</v>
      </c>
      <c r="M442">
        <v>322</v>
      </c>
      <c r="N442">
        <v>44956</v>
      </c>
      <c r="O442" t="str">
        <v>January</v>
      </c>
      <c r="P442" t="str">
        <v>CUST322</v>
      </c>
      <c r="Q442" t="str">
        <v>Male</v>
      </c>
      <c r="R442">
        <v>51</v>
      </c>
      <c r="S442" t="str">
        <v>Electronics</v>
      </c>
      <c r="T442">
        <v>1</v>
      </c>
      <c r="U442">
        <v>500</v>
      </c>
      <c r="V442">
        <v>500</v>
      </c>
      <c r="W442">
        <v>500</v>
      </c>
      <c r="X442">
        <v>2023</v>
      </c>
    </row>
    <row r="443" spans="1:24" x14ac:dyDescent="0.35">
      <c r="A443">
        <v>442</v>
      </c>
      <c r="B443" s="1">
        <v>45002</v>
      </c>
      <c r="C443" s="2" t="s">
        <v>28</v>
      </c>
      <c r="D443" s="2" t="s">
        <v>470</v>
      </c>
      <c r="E443" s="2" t="s">
        <v>18</v>
      </c>
      <c r="F443">
        <v>60</v>
      </c>
      <c r="G443" s="2" t="s">
        <v>19</v>
      </c>
      <c r="H443">
        <v>4</v>
      </c>
      <c r="I443">
        <v>25</v>
      </c>
      <c r="J443">
        <v>100</v>
      </c>
      <c r="K443">
        <v>100</v>
      </c>
      <c r="L443">
        <v>2023</v>
      </c>
      <c r="M443">
        <v>323</v>
      </c>
      <c r="N443">
        <v>44952</v>
      </c>
      <c r="O443" t="str">
        <v>January</v>
      </c>
      <c r="P443" t="str">
        <v>CUST323</v>
      </c>
      <c r="Q443" t="str">
        <v>Female</v>
      </c>
      <c r="R443">
        <v>29</v>
      </c>
      <c r="S443" t="str">
        <v>Beauty</v>
      </c>
      <c r="T443">
        <v>3</v>
      </c>
      <c r="U443">
        <v>300</v>
      </c>
      <c r="V443">
        <v>900</v>
      </c>
      <c r="W443">
        <v>900</v>
      </c>
      <c r="X443">
        <v>2023</v>
      </c>
    </row>
    <row r="444" spans="1:24" x14ac:dyDescent="0.35">
      <c r="A444">
        <v>443</v>
      </c>
      <c r="B444" s="1">
        <v>45147</v>
      </c>
      <c r="C444" s="2" t="s">
        <v>37</v>
      </c>
      <c r="D444" s="2" t="s">
        <v>471</v>
      </c>
      <c r="E444" s="2" t="s">
        <v>14</v>
      </c>
      <c r="F444">
        <v>29</v>
      </c>
      <c r="G444" s="2" t="s">
        <v>19</v>
      </c>
      <c r="H444">
        <v>2</v>
      </c>
      <c r="I444">
        <v>300</v>
      </c>
      <c r="J444">
        <v>600</v>
      </c>
      <c r="K444">
        <v>600</v>
      </c>
      <c r="L444">
        <v>2023</v>
      </c>
      <c r="M444">
        <v>324</v>
      </c>
      <c r="N444">
        <v>45226</v>
      </c>
      <c r="O444" t="str">
        <v>October</v>
      </c>
      <c r="P444" t="str">
        <v>CUST324</v>
      </c>
      <c r="Q444" t="str">
        <v>Female</v>
      </c>
      <c r="R444">
        <v>52</v>
      </c>
      <c r="S444" t="str">
        <v>Electronics</v>
      </c>
      <c r="T444">
        <v>3</v>
      </c>
      <c r="U444">
        <v>50</v>
      </c>
      <c r="V444">
        <v>150</v>
      </c>
      <c r="W444">
        <v>150</v>
      </c>
      <c r="X444">
        <v>2023</v>
      </c>
    </row>
    <row r="445" spans="1:24" x14ac:dyDescent="0.35">
      <c r="A445">
        <v>444</v>
      </c>
      <c r="B445" s="1">
        <v>44992</v>
      </c>
      <c r="C445" s="2" t="s">
        <v>28</v>
      </c>
      <c r="D445" s="2" t="s">
        <v>472</v>
      </c>
      <c r="E445" s="2" t="s">
        <v>18</v>
      </c>
      <c r="F445">
        <v>61</v>
      </c>
      <c r="G445" s="2" t="s">
        <v>19</v>
      </c>
      <c r="H445">
        <v>3</v>
      </c>
      <c r="I445">
        <v>30</v>
      </c>
      <c r="J445">
        <v>90</v>
      </c>
      <c r="K445">
        <v>90</v>
      </c>
      <c r="L445">
        <v>2023</v>
      </c>
      <c r="M445">
        <v>325</v>
      </c>
      <c r="N445">
        <v>45171</v>
      </c>
      <c r="O445" t="str">
        <v>September</v>
      </c>
      <c r="P445" t="str">
        <v>CUST325</v>
      </c>
      <c r="Q445" t="str">
        <v>Female</v>
      </c>
      <c r="R445">
        <v>52</v>
      </c>
      <c r="S445" t="str">
        <v>Electronics</v>
      </c>
      <c r="T445">
        <v>2</v>
      </c>
      <c r="U445">
        <v>25</v>
      </c>
      <c r="V445">
        <v>50</v>
      </c>
      <c r="W445">
        <v>50</v>
      </c>
      <c r="X445">
        <v>2023</v>
      </c>
    </row>
    <row r="446" spans="1:24" x14ac:dyDescent="0.35">
      <c r="A446">
        <v>445</v>
      </c>
      <c r="B446" s="1">
        <v>44948</v>
      </c>
      <c r="C446" s="2" t="s">
        <v>20</v>
      </c>
      <c r="D446" s="2" t="s">
        <v>473</v>
      </c>
      <c r="E446" s="2" t="s">
        <v>18</v>
      </c>
      <c r="F446">
        <v>53</v>
      </c>
      <c r="G446" s="2" t="s">
        <v>22</v>
      </c>
      <c r="H446">
        <v>1</v>
      </c>
      <c r="I446">
        <v>300</v>
      </c>
      <c r="J446">
        <v>300</v>
      </c>
      <c r="K446">
        <v>300</v>
      </c>
      <c r="L446">
        <v>2023</v>
      </c>
      <c r="M446">
        <v>326</v>
      </c>
      <c r="N446">
        <v>45184</v>
      </c>
      <c r="O446" t="str">
        <v>September</v>
      </c>
      <c r="P446" t="str">
        <v>CUST326</v>
      </c>
      <c r="Q446" t="str">
        <v>Female</v>
      </c>
      <c r="R446">
        <v>18</v>
      </c>
      <c r="S446" t="str">
        <v>Clothing</v>
      </c>
      <c r="T446">
        <v>3</v>
      </c>
      <c r="U446">
        <v>25</v>
      </c>
      <c r="V446">
        <v>75</v>
      </c>
      <c r="W446">
        <v>75</v>
      </c>
      <c r="X446">
        <v>2023</v>
      </c>
    </row>
    <row r="447" spans="1:24" x14ac:dyDescent="0.35">
      <c r="A447">
        <v>446</v>
      </c>
      <c r="B447" s="1">
        <v>45084</v>
      </c>
      <c r="C447" s="2" t="s">
        <v>62</v>
      </c>
      <c r="D447" s="2" t="s">
        <v>474</v>
      </c>
      <c r="E447" s="2" t="s">
        <v>14</v>
      </c>
      <c r="F447">
        <v>21</v>
      </c>
      <c r="G447" s="2" t="s">
        <v>22</v>
      </c>
      <c r="H447">
        <v>1</v>
      </c>
      <c r="I447">
        <v>50</v>
      </c>
      <c r="J447">
        <v>50</v>
      </c>
      <c r="K447">
        <v>50</v>
      </c>
      <c r="L447">
        <v>2023</v>
      </c>
      <c r="M447">
        <v>327</v>
      </c>
      <c r="N447">
        <v>45198</v>
      </c>
      <c r="O447" t="str">
        <v>September</v>
      </c>
      <c r="P447" t="str">
        <v>CUST327</v>
      </c>
      <c r="Q447" t="str">
        <v>Male</v>
      </c>
      <c r="R447">
        <v>57</v>
      </c>
      <c r="S447" t="str">
        <v>Electronics</v>
      </c>
      <c r="T447">
        <v>3</v>
      </c>
      <c r="U447">
        <v>50</v>
      </c>
      <c r="V447">
        <v>150</v>
      </c>
      <c r="W447">
        <v>150</v>
      </c>
      <c r="X447">
        <v>2023</v>
      </c>
    </row>
    <row r="448" spans="1:24" x14ac:dyDescent="0.35">
      <c r="A448">
        <v>447</v>
      </c>
      <c r="B448" s="1">
        <v>45113</v>
      </c>
      <c r="C448" s="2" t="s">
        <v>70</v>
      </c>
      <c r="D448" s="2" t="s">
        <v>475</v>
      </c>
      <c r="E448" s="2" t="s">
        <v>14</v>
      </c>
      <c r="F448">
        <v>22</v>
      </c>
      <c r="G448" s="2" t="s">
        <v>15</v>
      </c>
      <c r="H448">
        <v>4</v>
      </c>
      <c r="I448">
        <v>500</v>
      </c>
      <c r="J448">
        <v>2000</v>
      </c>
      <c r="K448">
        <v>2000</v>
      </c>
      <c r="L448">
        <v>2023</v>
      </c>
      <c r="M448">
        <v>328</v>
      </c>
      <c r="N448">
        <v>45007</v>
      </c>
      <c r="O448" t="str">
        <v>March</v>
      </c>
      <c r="P448" t="str">
        <v>CUST328</v>
      </c>
      <c r="Q448" t="str">
        <v>Male</v>
      </c>
      <c r="R448">
        <v>39</v>
      </c>
      <c r="S448" t="str">
        <v>Beauty</v>
      </c>
      <c r="T448">
        <v>2</v>
      </c>
      <c r="U448">
        <v>50</v>
      </c>
      <c r="V448">
        <v>100</v>
      </c>
      <c r="W448">
        <v>100</v>
      </c>
      <c r="X448">
        <v>2023</v>
      </c>
    </row>
    <row r="449" spans="1:24" x14ac:dyDescent="0.35">
      <c r="A449">
        <v>448</v>
      </c>
      <c r="B449" s="1">
        <v>44947</v>
      </c>
      <c r="C449" s="2" t="s">
        <v>20</v>
      </c>
      <c r="D449" s="2" t="s">
        <v>476</v>
      </c>
      <c r="E449" s="2" t="s">
        <v>18</v>
      </c>
      <c r="F449">
        <v>54</v>
      </c>
      <c r="G449" s="2" t="s">
        <v>15</v>
      </c>
      <c r="H449">
        <v>2</v>
      </c>
      <c r="I449">
        <v>30</v>
      </c>
      <c r="J449">
        <v>60</v>
      </c>
      <c r="K449">
        <v>60</v>
      </c>
      <c r="L449">
        <v>2023</v>
      </c>
      <c r="M449">
        <v>329</v>
      </c>
      <c r="N449">
        <v>44956</v>
      </c>
      <c r="O449" t="str">
        <v>January</v>
      </c>
      <c r="P449" t="str">
        <v>CUST329</v>
      </c>
      <c r="Q449" t="str">
        <v>Female</v>
      </c>
      <c r="R449">
        <v>46</v>
      </c>
      <c r="S449" t="str">
        <v>Electronics</v>
      </c>
      <c r="T449">
        <v>4</v>
      </c>
      <c r="U449">
        <v>25</v>
      </c>
      <c r="V449">
        <v>100</v>
      </c>
      <c r="W449">
        <v>100</v>
      </c>
      <c r="X449">
        <v>2023</v>
      </c>
    </row>
    <row r="450" spans="1:24" x14ac:dyDescent="0.35">
      <c r="A450">
        <v>449</v>
      </c>
      <c r="B450" s="1">
        <v>45110</v>
      </c>
      <c r="C450" s="2" t="s">
        <v>70</v>
      </c>
      <c r="D450" s="2" t="s">
        <v>477</v>
      </c>
      <c r="E450" s="2" t="s">
        <v>14</v>
      </c>
      <c r="F450">
        <v>25</v>
      </c>
      <c r="G450" s="2" t="s">
        <v>22</v>
      </c>
      <c r="H450">
        <v>4</v>
      </c>
      <c r="I450">
        <v>50</v>
      </c>
      <c r="J450">
        <v>200</v>
      </c>
      <c r="K450">
        <v>200</v>
      </c>
      <c r="L450">
        <v>2023</v>
      </c>
      <c r="M450">
        <v>330</v>
      </c>
      <c r="N450">
        <v>45187</v>
      </c>
      <c r="O450" t="str">
        <v>September</v>
      </c>
      <c r="P450" t="str">
        <v>CUST330</v>
      </c>
      <c r="Q450" t="str">
        <v>Female</v>
      </c>
      <c r="R450">
        <v>25</v>
      </c>
      <c r="S450" t="str">
        <v>Beauty</v>
      </c>
      <c r="T450">
        <v>4</v>
      </c>
      <c r="U450">
        <v>50</v>
      </c>
      <c r="V450">
        <v>200</v>
      </c>
      <c r="W450">
        <v>200</v>
      </c>
      <c r="X450">
        <v>2023</v>
      </c>
    </row>
    <row r="451" spans="1:24" x14ac:dyDescent="0.35">
      <c r="A451">
        <v>450</v>
      </c>
      <c r="B451" s="1">
        <v>45034</v>
      </c>
      <c r="C451" s="2" t="s">
        <v>26</v>
      </c>
      <c r="D451" s="2" t="s">
        <v>478</v>
      </c>
      <c r="E451" s="2" t="s">
        <v>18</v>
      </c>
      <c r="F451">
        <v>59</v>
      </c>
      <c r="G451" s="2" t="s">
        <v>15</v>
      </c>
      <c r="H451">
        <v>2</v>
      </c>
      <c r="I451">
        <v>25</v>
      </c>
      <c r="J451">
        <v>50</v>
      </c>
      <c r="K451">
        <v>50</v>
      </c>
      <c r="L451">
        <v>2023</v>
      </c>
      <c r="M451">
        <v>331</v>
      </c>
      <c r="N451">
        <v>44968</v>
      </c>
      <c r="O451" t="str">
        <v>February</v>
      </c>
      <c r="P451" t="str">
        <v>CUST331</v>
      </c>
      <c r="Q451" t="str">
        <v>Male</v>
      </c>
      <c r="R451">
        <v>28</v>
      </c>
      <c r="S451" t="str">
        <v>Electronics</v>
      </c>
      <c r="T451">
        <v>3</v>
      </c>
      <c r="U451">
        <v>30</v>
      </c>
      <c r="V451">
        <v>90</v>
      </c>
      <c r="W451">
        <v>90</v>
      </c>
      <c r="X451">
        <v>2023</v>
      </c>
    </row>
    <row r="452" spans="1:24" x14ac:dyDescent="0.35">
      <c r="A452">
        <v>451</v>
      </c>
      <c r="B452" s="1">
        <v>45276</v>
      </c>
      <c r="C452" s="2" t="s">
        <v>31</v>
      </c>
      <c r="D452" s="2" t="s">
        <v>479</v>
      </c>
      <c r="E452" s="2" t="s">
        <v>18</v>
      </c>
      <c r="F452">
        <v>45</v>
      </c>
      <c r="G452" s="2" t="s">
        <v>22</v>
      </c>
      <c r="H452">
        <v>1</v>
      </c>
      <c r="I452">
        <v>30</v>
      </c>
      <c r="J452">
        <v>30</v>
      </c>
      <c r="K452">
        <v>30</v>
      </c>
      <c r="L452">
        <v>2023</v>
      </c>
      <c r="M452">
        <v>332</v>
      </c>
      <c r="N452">
        <v>45022</v>
      </c>
      <c r="O452" t="str">
        <v>April</v>
      </c>
      <c r="P452" t="str">
        <v>CUST332</v>
      </c>
      <c r="Q452" t="str">
        <v>Male</v>
      </c>
      <c r="R452">
        <v>58</v>
      </c>
      <c r="S452" t="str">
        <v>Electronics</v>
      </c>
      <c r="T452">
        <v>4</v>
      </c>
      <c r="U452">
        <v>300</v>
      </c>
      <c r="V452">
        <v>1200</v>
      </c>
      <c r="W452">
        <v>1200</v>
      </c>
      <c r="X452">
        <v>2023</v>
      </c>
    </row>
    <row r="453" spans="1:24" x14ac:dyDescent="0.35">
      <c r="A453">
        <v>452</v>
      </c>
      <c r="B453" s="1">
        <v>45054</v>
      </c>
      <c r="C453" s="2" t="s">
        <v>23</v>
      </c>
      <c r="D453" s="2" t="s">
        <v>480</v>
      </c>
      <c r="E453" s="2" t="s">
        <v>18</v>
      </c>
      <c r="F453">
        <v>48</v>
      </c>
      <c r="G453" s="2" t="s">
        <v>19</v>
      </c>
      <c r="H453">
        <v>3</v>
      </c>
      <c r="I453">
        <v>500</v>
      </c>
      <c r="J453">
        <v>1500</v>
      </c>
      <c r="K453">
        <v>1500</v>
      </c>
      <c r="L453">
        <v>2023</v>
      </c>
      <c r="M453">
        <v>333</v>
      </c>
      <c r="N453">
        <v>44962</v>
      </c>
      <c r="O453" t="str">
        <v>February</v>
      </c>
      <c r="P453" t="str">
        <v>CUST333</v>
      </c>
      <c r="Q453" t="str">
        <v>Female</v>
      </c>
      <c r="R453">
        <v>54</v>
      </c>
      <c r="S453" t="str">
        <v>Electronics</v>
      </c>
      <c r="T453">
        <v>4</v>
      </c>
      <c r="U453">
        <v>300</v>
      </c>
      <c r="V453">
        <v>1200</v>
      </c>
      <c r="W453">
        <v>1200</v>
      </c>
      <c r="X453">
        <v>2023</v>
      </c>
    </row>
    <row r="454" spans="1:24" x14ac:dyDescent="0.35">
      <c r="A454">
        <v>453</v>
      </c>
      <c r="B454" s="1">
        <v>45268</v>
      </c>
      <c r="C454" s="2" t="s">
        <v>31</v>
      </c>
      <c r="D454" s="2" t="s">
        <v>481</v>
      </c>
      <c r="E454" s="2" t="s">
        <v>18</v>
      </c>
      <c r="F454">
        <v>26</v>
      </c>
      <c r="G454" s="2" t="s">
        <v>19</v>
      </c>
      <c r="H454">
        <v>2</v>
      </c>
      <c r="I454">
        <v>500</v>
      </c>
      <c r="J454">
        <v>1000</v>
      </c>
      <c r="K454">
        <v>1000</v>
      </c>
      <c r="L454">
        <v>2023</v>
      </c>
      <c r="M454">
        <v>334</v>
      </c>
      <c r="N454">
        <v>45231</v>
      </c>
      <c r="O454" t="str">
        <v>November</v>
      </c>
      <c r="P454" t="str">
        <v>CUST334</v>
      </c>
      <c r="Q454" t="str">
        <v>Male</v>
      </c>
      <c r="R454">
        <v>31</v>
      </c>
      <c r="S454" t="str">
        <v>Electronics</v>
      </c>
      <c r="T454">
        <v>3</v>
      </c>
      <c r="U454">
        <v>300</v>
      </c>
      <c r="V454">
        <v>900</v>
      </c>
      <c r="W454">
        <v>900</v>
      </c>
      <c r="X454">
        <v>2023</v>
      </c>
    </row>
    <row r="455" spans="1:24" x14ac:dyDescent="0.35">
      <c r="A455">
        <v>454</v>
      </c>
      <c r="B455" s="1">
        <v>44979</v>
      </c>
      <c r="C455" s="2" t="s">
        <v>16</v>
      </c>
      <c r="D455" s="2" t="s">
        <v>482</v>
      </c>
      <c r="E455" s="2" t="s">
        <v>18</v>
      </c>
      <c r="F455">
        <v>46</v>
      </c>
      <c r="G455" s="2" t="s">
        <v>15</v>
      </c>
      <c r="H455">
        <v>1</v>
      </c>
      <c r="I455">
        <v>25</v>
      </c>
      <c r="J455">
        <v>25</v>
      </c>
      <c r="K455">
        <v>25</v>
      </c>
      <c r="L455">
        <v>2023</v>
      </c>
      <c r="M455">
        <v>335</v>
      </c>
      <c r="N455">
        <v>44961</v>
      </c>
      <c r="O455" t="str">
        <v>February</v>
      </c>
      <c r="P455" t="str">
        <v>CUST335</v>
      </c>
      <c r="Q455" t="str">
        <v>Female</v>
      </c>
      <c r="R455">
        <v>47</v>
      </c>
      <c r="S455" t="str">
        <v>Beauty</v>
      </c>
      <c r="T455">
        <v>4</v>
      </c>
      <c r="U455">
        <v>30</v>
      </c>
      <c r="V455">
        <v>120</v>
      </c>
      <c r="W455">
        <v>120</v>
      </c>
      <c r="X455">
        <v>2023</v>
      </c>
    </row>
    <row r="456" spans="1:24" x14ac:dyDescent="0.35">
      <c r="A456">
        <v>455</v>
      </c>
      <c r="B456" s="1">
        <v>45108</v>
      </c>
      <c r="C456" s="2" t="s">
        <v>70</v>
      </c>
      <c r="D456" s="2" t="s">
        <v>483</v>
      </c>
      <c r="E456" s="2" t="s">
        <v>14</v>
      </c>
      <c r="F456">
        <v>31</v>
      </c>
      <c r="G456" s="2" t="s">
        <v>22</v>
      </c>
      <c r="H456">
        <v>4</v>
      </c>
      <c r="I456">
        <v>25</v>
      </c>
      <c r="J456">
        <v>100</v>
      </c>
      <c r="K456">
        <v>100</v>
      </c>
      <c r="L456">
        <v>2023</v>
      </c>
      <c r="M456">
        <v>336</v>
      </c>
      <c r="N456">
        <v>45272</v>
      </c>
      <c r="O456" t="str">
        <v>December</v>
      </c>
      <c r="P456" t="str">
        <v>CUST336</v>
      </c>
      <c r="Q456" t="str">
        <v>Female</v>
      </c>
      <c r="R456">
        <v>52</v>
      </c>
      <c r="S456" t="str">
        <v>Beauty</v>
      </c>
      <c r="T456">
        <v>3</v>
      </c>
      <c r="U456">
        <v>50</v>
      </c>
      <c r="V456">
        <v>150</v>
      </c>
      <c r="W456">
        <v>150</v>
      </c>
      <c r="X456">
        <v>2023</v>
      </c>
    </row>
    <row r="457" spans="1:24" x14ac:dyDescent="0.35">
      <c r="A457">
        <v>456</v>
      </c>
      <c r="B457" s="1">
        <v>45213</v>
      </c>
      <c r="C457" s="2" t="s">
        <v>33</v>
      </c>
      <c r="D457" s="2" t="s">
        <v>484</v>
      </c>
      <c r="E457" s="2" t="s">
        <v>14</v>
      </c>
      <c r="F457">
        <v>57</v>
      </c>
      <c r="G457" s="2" t="s">
        <v>22</v>
      </c>
      <c r="H457">
        <v>2</v>
      </c>
      <c r="I457">
        <v>30</v>
      </c>
      <c r="J457">
        <v>60</v>
      </c>
      <c r="K457">
        <v>60</v>
      </c>
      <c r="L457">
        <v>2023</v>
      </c>
      <c r="M457">
        <v>337</v>
      </c>
      <c r="N457">
        <v>45047</v>
      </c>
      <c r="O457" t="str">
        <v>May</v>
      </c>
      <c r="P457" t="str">
        <v>CUST337</v>
      </c>
      <c r="Q457" t="str">
        <v>Male</v>
      </c>
      <c r="R457">
        <v>38</v>
      </c>
      <c r="S457" t="str">
        <v>Clothing</v>
      </c>
      <c r="T457">
        <v>1</v>
      </c>
      <c r="U457">
        <v>500</v>
      </c>
      <c r="V457">
        <v>500</v>
      </c>
      <c r="W457">
        <v>500</v>
      </c>
      <c r="X457">
        <v>2023</v>
      </c>
    </row>
    <row r="458" spans="1:24" x14ac:dyDescent="0.35">
      <c r="A458">
        <v>457</v>
      </c>
      <c r="B458" s="1">
        <v>45135</v>
      </c>
      <c r="C458" s="2" t="s">
        <v>70</v>
      </c>
      <c r="D458" s="2" t="s">
        <v>485</v>
      </c>
      <c r="E458" s="2" t="s">
        <v>18</v>
      </c>
      <c r="F458">
        <v>58</v>
      </c>
      <c r="G458" s="2" t="s">
        <v>15</v>
      </c>
      <c r="H458">
        <v>3</v>
      </c>
      <c r="I458">
        <v>300</v>
      </c>
      <c r="J458">
        <v>900</v>
      </c>
      <c r="K458">
        <v>900</v>
      </c>
      <c r="L458">
        <v>2023</v>
      </c>
      <c r="M458">
        <v>338</v>
      </c>
      <c r="N458">
        <v>45133</v>
      </c>
      <c r="O458" t="str">
        <v>July</v>
      </c>
      <c r="P458" t="str">
        <v>CUST338</v>
      </c>
      <c r="Q458" t="str">
        <v>Male</v>
      </c>
      <c r="R458">
        <v>54</v>
      </c>
      <c r="S458" t="str">
        <v>Beauty</v>
      </c>
      <c r="T458">
        <v>2</v>
      </c>
      <c r="U458">
        <v>50</v>
      </c>
      <c r="V458">
        <v>100</v>
      </c>
      <c r="W458">
        <v>100</v>
      </c>
      <c r="X458">
        <v>2023</v>
      </c>
    </row>
    <row r="459" spans="1:24" x14ac:dyDescent="0.35">
      <c r="A459">
        <v>458</v>
      </c>
      <c r="B459" s="1">
        <v>45244</v>
      </c>
      <c r="C459" s="2" t="s">
        <v>12</v>
      </c>
      <c r="D459" s="2" t="s">
        <v>486</v>
      </c>
      <c r="E459" s="2" t="s">
        <v>18</v>
      </c>
      <c r="F459">
        <v>39</v>
      </c>
      <c r="G459" s="2" t="s">
        <v>22</v>
      </c>
      <c r="H459">
        <v>4</v>
      </c>
      <c r="I459">
        <v>25</v>
      </c>
      <c r="J459">
        <v>100</v>
      </c>
      <c r="K459">
        <v>100</v>
      </c>
      <c r="L459">
        <v>2023</v>
      </c>
      <c r="M459">
        <v>339</v>
      </c>
      <c r="N459">
        <v>44988</v>
      </c>
      <c r="O459" t="str">
        <v>March</v>
      </c>
      <c r="P459" t="str">
        <v>CUST339</v>
      </c>
      <c r="Q459" t="str">
        <v>Female</v>
      </c>
      <c r="R459">
        <v>22</v>
      </c>
      <c r="S459" t="str">
        <v>Electronics</v>
      </c>
      <c r="T459">
        <v>2</v>
      </c>
      <c r="U459">
        <v>25</v>
      </c>
      <c r="V459">
        <v>50</v>
      </c>
      <c r="W459">
        <v>50</v>
      </c>
      <c r="X459">
        <v>2023</v>
      </c>
    </row>
    <row r="460" spans="1:24" x14ac:dyDescent="0.35">
      <c r="A460">
        <v>459</v>
      </c>
      <c r="B460" s="1">
        <v>45006</v>
      </c>
      <c r="C460" s="2" t="s">
        <v>28</v>
      </c>
      <c r="D460" s="2" t="s">
        <v>487</v>
      </c>
      <c r="E460" s="2" t="s">
        <v>14</v>
      </c>
      <c r="F460">
        <v>28</v>
      </c>
      <c r="G460" s="2" t="s">
        <v>19</v>
      </c>
      <c r="H460">
        <v>4</v>
      </c>
      <c r="I460">
        <v>300</v>
      </c>
      <c r="J460">
        <v>1200</v>
      </c>
      <c r="K460">
        <v>1200</v>
      </c>
      <c r="L460">
        <v>2023</v>
      </c>
      <c r="M460">
        <v>340</v>
      </c>
      <c r="N460">
        <v>45218</v>
      </c>
      <c r="O460" t="str">
        <v>October</v>
      </c>
      <c r="P460" t="str">
        <v>CUST340</v>
      </c>
      <c r="Q460" t="str">
        <v>Female</v>
      </c>
      <c r="R460">
        <v>36</v>
      </c>
      <c r="S460" t="str">
        <v>Clothing</v>
      </c>
      <c r="T460">
        <v>4</v>
      </c>
      <c r="U460">
        <v>300</v>
      </c>
      <c r="V460">
        <v>1200</v>
      </c>
      <c r="W460">
        <v>1200</v>
      </c>
      <c r="X460">
        <v>2023</v>
      </c>
    </row>
    <row r="461" spans="1:24" x14ac:dyDescent="0.35">
      <c r="A461">
        <v>460</v>
      </c>
      <c r="B461" s="1">
        <v>45048</v>
      </c>
      <c r="C461" s="2" t="s">
        <v>23</v>
      </c>
      <c r="D461" s="2" t="s">
        <v>488</v>
      </c>
      <c r="E461" s="2" t="s">
        <v>14</v>
      </c>
      <c r="F461">
        <v>40</v>
      </c>
      <c r="G461" s="2" t="s">
        <v>15</v>
      </c>
      <c r="H461">
        <v>1</v>
      </c>
      <c r="I461">
        <v>50</v>
      </c>
      <c r="J461">
        <v>50</v>
      </c>
      <c r="K461">
        <v>50</v>
      </c>
      <c r="L461">
        <v>2023</v>
      </c>
      <c r="M461">
        <v>341</v>
      </c>
      <c r="N461">
        <v>45053</v>
      </c>
      <c r="O461" t="str">
        <v>May</v>
      </c>
      <c r="P461" t="str">
        <v>CUST341</v>
      </c>
      <c r="Q461" t="str">
        <v>Male</v>
      </c>
      <c r="R461">
        <v>31</v>
      </c>
      <c r="S461" t="str">
        <v>Clothing</v>
      </c>
      <c r="T461">
        <v>4</v>
      </c>
      <c r="U461">
        <v>50</v>
      </c>
      <c r="V461">
        <v>200</v>
      </c>
      <c r="W461">
        <v>200</v>
      </c>
      <c r="X461">
        <v>2023</v>
      </c>
    </row>
    <row r="462" spans="1:24" x14ac:dyDescent="0.35">
      <c r="A462">
        <v>461</v>
      </c>
      <c r="B462" s="1">
        <v>45010</v>
      </c>
      <c r="C462" s="2" t="s">
        <v>28</v>
      </c>
      <c r="D462" s="2" t="s">
        <v>489</v>
      </c>
      <c r="E462" s="2" t="s">
        <v>18</v>
      </c>
      <c r="F462">
        <v>18</v>
      </c>
      <c r="G462" s="2" t="s">
        <v>15</v>
      </c>
      <c r="H462">
        <v>2</v>
      </c>
      <c r="I462">
        <v>500</v>
      </c>
      <c r="J462">
        <v>1000</v>
      </c>
      <c r="K462">
        <v>1000</v>
      </c>
      <c r="L462">
        <v>2023</v>
      </c>
      <c r="M462">
        <v>342</v>
      </c>
      <c r="N462">
        <v>45223</v>
      </c>
      <c r="O462" t="str">
        <v>October</v>
      </c>
      <c r="P462" t="str">
        <v>CUST342</v>
      </c>
      <c r="Q462" t="str">
        <v>Female</v>
      </c>
      <c r="R462">
        <v>43</v>
      </c>
      <c r="S462" t="str">
        <v>Clothing</v>
      </c>
      <c r="T462">
        <v>4</v>
      </c>
      <c r="U462">
        <v>500</v>
      </c>
      <c r="V462">
        <v>2000</v>
      </c>
      <c r="W462">
        <v>2000</v>
      </c>
      <c r="X462">
        <v>2023</v>
      </c>
    </row>
    <row r="463" spans="1:24" x14ac:dyDescent="0.35">
      <c r="A463">
        <v>462</v>
      </c>
      <c r="B463" s="1">
        <v>45017</v>
      </c>
      <c r="C463" s="2" t="s">
        <v>26</v>
      </c>
      <c r="D463" s="2" t="s">
        <v>490</v>
      </c>
      <c r="E463" s="2" t="s">
        <v>14</v>
      </c>
      <c r="F463">
        <v>63</v>
      </c>
      <c r="G463" s="2" t="s">
        <v>22</v>
      </c>
      <c r="H463">
        <v>4</v>
      </c>
      <c r="I463">
        <v>300</v>
      </c>
      <c r="J463">
        <v>1200</v>
      </c>
      <c r="K463">
        <v>1200</v>
      </c>
      <c r="L463">
        <v>2023</v>
      </c>
      <c r="M463">
        <v>343</v>
      </c>
      <c r="N463">
        <v>45231</v>
      </c>
      <c r="O463" t="str">
        <v>November</v>
      </c>
      <c r="P463" t="str">
        <v>CUST343</v>
      </c>
      <c r="Q463" t="str">
        <v>Male</v>
      </c>
      <c r="R463">
        <v>21</v>
      </c>
      <c r="S463" t="str">
        <v>Electronics</v>
      </c>
      <c r="T463">
        <v>2</v>
      </c>
      <c r="U463">
        <v>25</v>
      </c>
      <c r="V463">
        <v>50</v>
      </c>
      <c r="W463">
        <v>50</v>
      </c>
      <c r="X463">
        <v>2023</v>
      </c>
    </row>
    <row r="464" spans="1:24" x14ac:dyDescent="0.35">
      <c r="A464">
        <v>463</v>
      </c>
      <c r="B464" s="1">
        <v>45138</v>
      </c>
      <c r="C464" s="2" t="s">
        <v>70</v>
      </c>
      <c r="D464" s="2" t="s">
        <v>491</v>
      </c>
      <c r="E464" s="2" t="s">
        <v>18</v>
      </c>
      <c r="F464">
        <v>54</v>
      </c>
      <c r="G464" s="2" t="s">
        <v>15</v>
      </c>
      <c r="H464">
        <v>3</v>
      </c>
      <c r="I464">
        <v>500</v>
      </c>
      <c r="J464">
        <v>1500</v>
      </c>
      <c r="K464">
        <v>1500</v>
      </c>
      <c r="L464">
        <v>2023</v>
      </c>
      <c r="M464">
        <v>344</v>
      </c>
      <c r="N464">
        <v>44947</v>
      </c>
      <c r="O464" t="str">
        <v>January</v>
      </c>
      <c r="P464" t="str">
        <v>CUST344</v>
      </c>
      <c r="Q464" t="str">
        <v>Female</v>
      </c>
      <c r="R464">
        <v>42</v>
      </c>
      <c r="S464" t="str">
        <v>Beauty</v>
      </c>
      <c r="T464">
        <v>1</v>
      </c>
      <c r="U464">
        <v>30</v>
      </c>
      <c r="V464">
        <v>30</v>
      </c>
      <c r="W464">
        <v>30</v>
      </c>
      <c r="X464">
        <v>2023</v>
      </c>
    </row>
    <row r="465" spans="1:24" x14ac:dyDescent="0.35">
      <c r="A465">
        <v>464</v>
      </c>
      <c r="B465" s="1">
        <v>44939</v>
      </c>
      <c r="C465" s="2" t="s">
        <v>20</v>
      </c>
      <c r="D465" s="2" t="s">
        <v>492</v>
      </c>
      <c r="E465" s="2" t="s">
        <v>14</v>
      </c>
      <c r="F465">
        <v>38</v>
      </c>
      <c r="G465" s="2" t="s">
        <v>22</v>
      </c>
      <c r="H465">
        <v>2</v>
      </c>
      <c r="I465">
        <v>300</v>
      </c>
      <c r="J465">
        <v>600</v>
      </c>
      <c r="K465">
        <v>600</v>
      </c>
      <c r="L465">
        <v>2023</v>
      </c>
      <c r="M465">
        <v>345</v>
      </c>
      <c r="N465">
        <v>45244</v>
      </c>
      <c r="O465" t="str">
        <v>November</v>
      </c>
      <c r="P465" t="str">
        <v>CUST345</v>
      </c>
      <c r="Q465" t="str">
        <v>Male</v>
      </c>
      <c r="R465">
        <v>62</v>
      </c>
      <c r="S465" t="str">
        <v>Electronics</v>
      </c>
      <c r="T465">
        <v>1</v>
      </c>
      <c r="U465">
        <v>30</v>
      </c>
      <c r="V465">
        <v>30</v>
      </c>
      <c r="W465">
        <v>30</v>
      </c>
      <c r="X465">
        <v>2023</v>
      </c>
    </row>
    <row r="466" spans="1:24" x14ac:dyDescent="0.35">
      <c r="A466">
        <v>465</v>
      </c>
      <c r="B466" s="1">
        <v>45018</v>
      </c>
      <c r="C466" s="2" t="s">
        <v>26</v>
      </c>
      <c r="D466" s="2" t="s">
        <v>493</v>
      </c>
      <c r="E466" s="2" t="s">
        <v>18</v>
      </c>
      <c r="F466">
        <v>43</v>
      </c>
      <c r="G466" s="2" t="s">
        <v>22</v>
      </c>
      <c r="H466">
        <v>3</v>
      </c>
      <c r="I466">
        <v>50</v>
      </c>
      <c r="J466">
        <v>150</v>
      </c>
      <c r="K466">
        <v>150</v>
      </c>
      <c r="L466">
        <v>2023</v>
      </c>
      <c r="M466">
        <v>346</v>
      </c>
      <c r="N466">
        <v>44968</v>
      </c>
      <c r="O466" t="str">
        <v>February</v>
      </c>
      <c r="P466" t="str">
        <v>CUST346</v>
      </c>
      <c r="Q466" t="str">
        <v>Male</v>
      </c>
      <c r="R466">
        <v>59</v>
      </c>
      <c r="S466" t="str">
        <v>Clothing</v>
      </c>
      <c r="T466">
        <v>2</v>
      </c>
      <c r="U466">
        <v>500</v>
      </c>
      <c r="V466">
        <v>1000</v>
      </c>
      <c r="W466">
        <v>1000</v>
      </c>
      <c r="X466">
        <v>2023</v>
      </c>
    </row>
    <row r="467" spans="1:24" x14ac:dyDescent="0.35">
      <c r="A467">
        <v>466</v>
      </c>
      <c r="B467" s="1">
        <v>45097</v>
      </c>
      <c r="C467" s="2" t="s">
        <v>62</v>
      </c>
      <c r="D467" s="2" t="s">
        <v>494</v>
      </c>
      <c r="E467" s="2" t="s">
        <v>14</v>
      </c>
      <c r="F467">
        <v>63</v>
      </c>
      <c r="G467" s="2" t="s">
        <v>22</v>
      </c>
      <c r="H467">
        <v>4</v>
      </c>
      <c r="I467">
        <v>25</v>
      </c>
      <c r="J467">
        <v>100</v>
      </c>
      <c r="K467">
        <v>100</v>
      </c>
      <c r="L467">
        <v>2023</v>
      </c>
      <c r="M467">
        <v>347</v>
      </c>
      <c r="N467">
        <v>45141</v>
      </c>
      <c r="O467" t="str">
        <v>August</v>
      </c>
      <c r="P467" t="str">
        <v>CUST347</v>
      </c>
      <c r="Q467" t="str">
        <v>Male</v>
      </c>
      <c r="R467">
        <v>42</v>
      </c>
      <c r="S467" t="str">
        <v>Electronics</v>
      </c>
      <c r="T467">
        <v>1</v>
      </c>
      <c r="U467">
        <v>25</v>
      </c>
      <c r="V467">
        <v>25</v>
      </c>
      <c r="W467">
        <v>25</v>
      </c>
      <c r="X467">
        <v>2023</v>
      </c>
    </row>
    <row r="468" spans="1:24" x14ac:dyDescent="0.35">
      <c r="A468">
        <v>467</v>
      </c>
      <c r="B468" s="1">
        <v>45137</v>
      </c>
      <c r="C468" s="2" t="s">
        <v>70</v>
      </c>
      <c r="D468" s="2" t="s">
        <v>495</v>
      </c>
      <c r="E468" s="2" t="s">
        <v>18</v>
      </c>
      <c r="F468">
        <v>53</v>
      </c>
      <c r="G468" s="2" t="s">
        <v>22</v>
      </c>
      <c r="H468">
        <v>3</v>
      </c>
      <c r="I468">
        <v>50</v>
      </c>
      <c r="J468">
        <v>150</v>
      </c>
      <c r="K468">
        <v>150</v>
      </c>
      <c r="L468">
        <v>2023</v>
      </c>
      <c r="M468">
        <v>348</v>
      </c>
      <c r="N468">
        <v>45263</v>
      </c>
      <c r="O468" t="str">
        <v>December</v>
      </c>
      <c r="P468" t="str">
        <v>CUST348</v>
      </c>
      <c r="Q468" t="str">
        <v>Female</v>
      </c>
      <c r="R468">
        <v>35</v>
      </c>
      <c r="S468" t="str">
        <v>Electronics</v>
      </c>
      <c r="T468">
        <v>2</v>
      </c>
      <c r="U468">
        <v>300</v>
      </c>
      <c r="V468">
        <v>600</v>
      </c>
      <c r="W468">
        <v>600</v>
      </c>
      <c r="X468">
        <v>2023</v>
      </c>
    </row>
    <row r="469" spans="1:24" x14ac:dyDescent="0.35">
      <c r="A469">
        <v>468</v>
      </c>
      <c r="B469" s="1">
        <v>45269</v>
      </c>
      <c r="C469" s="2" t="s">
        <v>31</v>
      </c>
      <c r="D469" s="2" t="s">
        <v>496</v>
      </c>
      <c r="E469" s="2" t="s">
        <v>14</v>
      </c>
      <c r="F469">
        <v>40</v>
      </c>
      <c r="G469" s="2" t="s">
        <v>22</v>
      </c>
      <c r="H469">
        <v>1</v>
      </c>
      <c r="I469">
        <v>25</v>
      </c>
      <c r="J469">
        <v>25</v>
      </c>
      <c r="K469">
        <v>25</v>
      </c>
      <c r="L469">
        <v>2023</v>
      </c>
      <c r="M469">
        <v>349</v>
      </c>
      <c r="N469">
        <v>45225</v>
      </c>
      <c r="O469" t="str">
        <v>October</v>
      </c>
      <c r="P469" t="str">
        <v>CUST349</v>
      </c>
      <c r="Q469" t="str">
        <v>Female</v>
      </c>
      <c r="R469">
        <v>57</v>
      </c>
      <c r="S469" t="str">
        <v>Beauty</v>
      </c>
      <c r="T469">
        <v>1</v>
      </c>
      <c r="U469">
        <v>50</v>
      </c>
      <c r="V469">
        <v>50</v>
      </c>
      <c r="W469">
        <v>50</v>
      </c>
      <c r="X469">
        <v>2023</v>
      </c>
    </row>
    <row r="470" spans="1:24" x14ac:dyDescent="0.35">
      <c r="A470">
        <v>469</v>
      </c>
      <c r="B470" s="1">
        <v>45054</v>
      </c>
      <c r="C470" s="2" t="s">
        <v>23</v>
      </c>
      <c r="D470" s="2" t="s">
        <v>497</v>
      </c>
      <c r="E470" s="2" t="s">
        <v>14</v>
      </c>
      <c r="F470">
        <v>18</v>
      </c>
      <c r="G470" s="2" t="s">
        <v>15</v>
      </c>
      <c r="H470">
        <v>3</v>
      </c>
      <c r="I470">
        <v>25</v>
      </c>
      <c r="J470">
        <v>75</v>
      </c>
      <c r="K470">
        <v>75</v>
      </c>
      <c r="L470">
        <v>2023</v>
      </c>
      <c r="M470">
        <v>350</v>
      </c>
      <c r="N470">
        <v>45216</v>
      </c>
      <c r="O470" t="str">
        <v>October</v>
      </c>
      <c r="P470" t="str">
        <v>CUST350</v>
      </c>
      <c r="Q470" t="str">
        <v>Male</v>
      </c>
      <c r="R470">
        <v>25</v>
      </c>
      <c r="S470" t="str">
        <v>Beauty</v>
      </c>
      <c r="T470">
        <v>3</v>
      </c>
      <c r="U470">
        <v>25</v>
      </c>
      <c r="V470">
        <v>75</v>
      </c>
      <c r="W470">
        <v>75</v>
      </c>
      <c r="X470">
        <v>2023</v>
      </c>
    </row>
    <row r="471" spans="1:24" x14ac:dyDescent="0.35">
      <c r="A471">
        <v>470</v>
      </c>
      <c r="B471" s="1">
        <v>45063</v>
      </c>
      <c r="C471" s="2" t="s">
        <v>23</v>
      </c>
      <c r="D471" s="2" t="s">
        <v>498</v>
      </c>
      <c r="E471" s="2" t="s">
        <v>18</v>
      </c>
      <c r="F471">
        <v>57</v>
      </c>
      <c r="G471" s="2" t="s">
        <v>19</v>
      </c>
      <c r="H471">
        <v>2</v>
      </c>
      <c r="I471">
        <v>500</v>
      </c>
      <c r="J471">
        <v>1000</v>
      </c>
      <c r="K471">
        <v>1000</v>
      </c>
      <c r="L471">
        <v>2023</v>
      </c>
      <c r="M471">
        <v>351</v>
      </c>
      <c r="N471">
        <v>45194</v>
      </c>
      <c r="O471" t="str">
        <v>September</v>
      </c>
      <c r="P471" t="str">
        <v>CUST351</v>
      </c>
      <c r="Q471" t="str">
        <v>Female</v>
      </c>
      <c r="R471">
        <v>56</v>
      </c>
      <c r="S471" t="str">
        <v>Clothing</v>
      </c>
      <c r="T471">
        <v>3</v>
      </c>
      <c r="U471">
        <v>30</v>
      </c>
      <c r="V471">
        <v>90</v>
      </c>
      <c r="W471">
        <v>90</v>
      </c>
      <c r="X471">
        <v>2023</v>
      </c>
    </row>
    <row r="472" spans="1:24" x14ac:dyDescent="0.35">
      <c r="A472">
        <v>471</v>
      </c>
      <c r="B472" s="1">
        <v>45008</v>
      </c>
      <c r="C472" s="2" t="s">
        <v>28</v>
      </c>
      <c r="D472" s="2" t="s">
        <v>499</v>
      </c>
      <c r="E472" s="2" t="s">
        <v>14</v>
      </c>
      <c r="F472">
        <v>32</v>
      </c>
      <c r="G472" s="2" t="s">
        <v>19</v>
      </c>
      <c r="H472">
        <v>3</v>
      </c>
      <c r="I472">
        <v>50</v>
      </c>
      <c r="J472">
        <v>150</v>
      </c>
      <c r="K472">
        <v>150</v>
      </c>
      <c r="L472">
        <v>2023</v>
      </c>
      <c r="M472">
        <v>352</v>
      </c>
      <c r="N472">
        <v>45088</v>
      </c>
      <c r="O472" t="str">
        <v>June</v>
      </c>
      <c r="P472" t="str">
        <v>CUST352</v>
      </c>
      <c r="Q472" t="str">
        <v>Male</v>
      </c>
      <c r="R472">
        <v>57</v>
      </c>
      <c r="S472" t="str">
        <v>Electronics</v>
      </c>
      <c r="T472">
        <v>2</v>
      </c>
      <c r="U472">
        <v>500</v>
      </c>
      <c r="V472">
        <v>1000</v>
      </c>
      <c r="W472">
        <v>1000</v>
      </c>
      <c r="X472">
        <v>2023</v>
      </c>
    </row>
    <row r="473" spans="1:24" x14ac:dyDescent="0.35">
      <c r="A473">
        <v>472</v>
      </c>
      <c r="B473" s="1">
        <v>45286</v>
      </c>
      <c r="C473" s="2" t="s">
        <v>31</v>
      </c>
      <c r="D473" s="2" t="s">
        <v>500</v>
      </c>
      <c r="E473" s="2" t="s">
        <v>18</v>
      </c>
      <c r="F473">
        <v>38</v>
      </c>
      <c r="G473" s="2" t="s">
        <v>15</v>
      </c>
      <c r="H473">
        <v>3</v>
      </c>
      <c r="I473">
        <v>300</v>
      </c>
      <c r="J473">
        <v>900</v>
      </c>
      <c r="K473">
        <v>900</v>
      </c>
      <c r="L473">
        <v>2023</v>
      </c>
      <c r="M473">
        <v>353</v>
      </c>
      <c r="N473">
        <v>45060</v>
      </c>
      <c r="O473" t="str">
        <v>May</v>
      </c>
      <c r="P473" t="str">
        <v>CUST353</v>
      </c>
      <c r="Q473" t="str">
        <v>Male</v>
      </c>
      <c r="R473">
        <v>31</v>
      </c>
      <c r="S473" t="str">
        <v>Electronics</v>
      </c>
      <c r="T473">
        <v>1</v>
      </c>
      <c r="U473">
        <v>500</v>
      </c>
      <c r="V473">
        <v>500</v>
      </c>
      <c r="W473">
        <v>500</v>
      </c>
      <c r="X473">
        <v>2023</v>
      </c>
    </row>
    <row r="474" spans="1:24" x14ac:dyDescent="0.35">
      <c r="A474">
        <v>473</v>
      </c>
      <c r="B474" s="1">
        <v>44982</v>
      </c>
      <c r="C474" s="2" t="s">
        <v>16</v>
      </c>
      <c r="D474" s="2" t="s">
        <v>501</v>
      </c>
      <c r="E474" s="2" t="s">
        <v>14</v>
      </c>
      <c r="F474">
        <v>64</v>
      </c>
      <c r="G474" s="2" t="s">
        <v>15</v>
      </c>
      <c r="H474">
        <v>1</v>
      </c>
      <c r="I474">
        <v>50</v>
      </c>
      <c r="J474">
        <v>50</v>
      </c>
      <c r="K474">
        <v>50</v>
      </c>
      <c r="L474">
        <v>2023</v>
      </c>
      <c r="M474">
        <v>354</v>
      </c>
      <c r="N474">
        <v>45031</v>
      </c>
      <c r="O474" t="str">
        <v>April</v>
      </c>
      <c r="P474" t="str">
        <v>CUST354</v>
      </c>
      <c r="Q474" t="str">
        <v>Female</v>
      </c>
      <c r="R474">
        <v>49</v>
      </c>
      <c r="S474" t="str">
        <v>Beauty</v>
      </c>
      <c r="T474">
        <v>4</v>
      </c>
      <c r="U474">
        <v>50</v>
      </c>
      <c r="V474">
        <v>200</v>
      </c>
      <c r="W474">
        <v>200</v>
      </c>
      <c r="X474">
        <v>2023</v>
      </c>
    </row>
    <row r="475" spans="1:24" x14ac:dyDescent="0.35">
      <c r="A475">
        <v>474</v>
      </c>
      <c r="B475" s="1">
        <v>45122</v>
      </c>
      <c r="C475" s="2" t="s">
        <v>70</v>
      </c>
      <c r="D475" s="2" t="s">
        <v>502</v>
      </c>
      <c r="E475" s="2" t="s">
        <v>18</v>
      </c>
      <c r="F475">
        <v>26</v>
      </c>
      <c r="G475" s="2" t="s">
        <v>19</v>
      </c>
      <c r="H475">
        <v>3</v>
      </c>
      <c r="I475">
        <v>500</v>
      </c>
      <c r="J475">
        <v>1500</v>
      </c>
      <c r="K475">
        <v>1500</v>
      </c>
      <c r="L475">
        <v>2023</v>
      </c>
      <c r="M475">
        <v>355</v>
      </c>
      <c r="N475">
        <v>45269</v>
      </c>
      <c r="O475" t="str">
        <v>December</v>
      </c>
      <c r="P475" t="str">
        <v>CUST355</v>
      </c>
      <c r="Q475" t="str">
        <v>Female</v>
      </c>
      <c r="R475">
        <v>55</v>
      </c>
      <c r="S475" t="str">
        <v>Electronics</v>
      </c>
      <c r="T475">
        <v>1</v>
      </c>
      <c r="U475">
        <v>500</v>
      </c>
      <c r="V475">
        <v>500</v>
      </c>
      <c r="W475">
        <v>500</v>
      </c>
      <c r="X475">
        <v>2023</v>
      </c>
    </row>
    <row r="476" spans="1:24" x14ac:dyDescent="0.35">
      <c r="A476">
        <v>475</v>
      </c>
      <c r="B476" s="1">
        <v>44946</v>
      </c>
      <c r="C476" s="2" t="s">
        <v>20</v>
      </c>
      <c r="D476" s="2" t="s">
        <v>503</v>
      </c>
      <c r="E476" s="2" t="s">
        <v>14</v>
      </c>
      <c r="F476">
        <v>26</v>
      </c>
      <c r="G476" s="2" t="s">
        <v>19</v>
      </c>
      <c r="H476">
        <v>3</v>
      </c>
      <c r="I476">
        <v>25</v>
      </c>
      <c r="J476">
        <v>75</v>
      </c>
      <c r="K476">
        <v>75</v>
      </c>
      <c r="L476">
        <v>2023</v>
      </c>
      <c r="M476">
        <v>356</v>
      </c>
      <c r="N476">
        <v>45087</v>
      </c>
      <c r="O476" t="str">
        <v>June</v>
      </c>
      <c r="P476" t="str">
        <v>CUST356</v>
      </c>
      <c r="Q476" t="str">
        <v>Male</v>
      </c>
      <c r="R476">
        <v>50</v>
      </c>
      <c r="S476" t="str">
        <v>Electronics</v>
      </c>
      <c r="T476">
        <v>3</v>
      </c>
      <c r="U476">
        <v>500</v>
      </c>
      <c r="V476">
        <v>1500</v>
      </c>
      <c r="W476">
        <v>1500</v>
      </c>
      <c r="X476">
        <v>2023</v>
      </c>
    </row>
    <row r="477" spans="1:24" x14ac:dyDescent="0.35">
      <c r="A477">
        <v>476</v>
      </c>
      <c r="B477" s="1">
        <v>45167</v>
      </c>
      <c r="C477" s="2" t="s">
        <v>37</v>
      </c>
      <c r="D477" s="2" t="s">
        <v>504</v>
      </c>
      <c r="E477" s="2" t="s">
        <v>18</v>
      </c>
      <c r="F477">
        <v>27</v>
      </c>
      <c r="G477" s="2" t="s">
        <v>19</v>
      </c>
      <c r="H477">
        <v>4</v>
      </c>
      <c r="I477">
        <v>500</v>
      </c>
      <c r="J477">
        <v>2000</v>
      </c>
      <c r="K477">
        <v>2000</v>
      </c>
      <c r="L477">
        <v>2023</v>
      </c>
      <c r="M477">
        <v>357</v>
      </c>
      <c r="N477">
        <v>45049</v>
      </c>
      <c r="O477" t="str">
        <v>May</v>
      </c>
      <c r="P477" t="str">
        <v>CUST357</v>
      </c>
      <c r="Q477" t="str">
        <v>Female</v>
      </c>
      <c r="R477">
        <v>40</v>
      </c>
      <c r="S477" t="str">
        <v>Electronics</v>
      </c>
      <c r="T477">
        <v>3</v>
      </c>
      <c r="U477">
        <v>25</v>
      </c>
      <c r="V477">
        <v>75</v>
      </c>
      <c r="W477">
        <v>75</v>
      </c>
      <c r="X477">
        <v>2023</v>
      </c>
    </row>
    <row r="478" spans="1:24" x14ac:dyDescent="0.35">
      <c r="A478">
        <v>477</v>
      </c>
      <c r="B478" s="1">
        <v>45040</v>
      </c>
      <c r="C478" s="2" t="s">
        <v>26</v>
      </c>
      <c r="D478" s="2" t="s">
        <v>505</v>
      </c>
      <c r="E478" s="2" t="s">
        <v>14</v>
      </c>
      <c r="F478">
        <v>43</v>
      </c>
      <c r="G478" s="2" t="s">
        <v>19</v>
      </c>
      <c r="H478">
        <v>4</v>
      </c>
      <c r="I478">
        <v>30</v>
      </c>
      <c r="J478">
        <v>120</v>
      </c>
      <c r="K478">
        <v>120</v>
      </c>
      <c r="L478">
        <v>2023</v>
      </c>
      <c r="M478">
        <v>358</v>
      </c>
      <c r="N478">
        <v>45062</v>
      </c>
      <c r="O478" t="str">
        <v>May</v>
      </c>
      <c r="P478" t="str">
        <v>CUST358</v>
      </c>
      <c r="Q478" t="str">
        <v>Female</v>
      </c>
      <c r="R478">
        <v>32</v>
      </c>
      <c r="S478" t="str">
        <v>Beauty</v>
      </c>
      <c r="T478">
        <v>1</v>
      </c>
      <c r="U478">
        <v>300</v>
      </c>
      <c r="V478">
        <v>300</v>
      </c>
      <c r="W478">
        <v>300</v>
      </c>
      <c r="X478">
        <v>2023</v>
      </c>
    </row>
    <row r="479" spans="1:24" x14ac:dyDescent="0.35">
      <c r="A479">
        <v>478</v>
      </c>
      <c r="B479" s="1">
        <v>45029</v>
      </c>
      <c r="C479" s="2" t="s">
        <v>26</v>
      </c>
      <c r="D479" s="2" t="s">
        <v>506</v>
      </c>
      <c r="E479" s="2" t="s">
        <v>18</v>
      </c>
      <c r="F479">
        <v>58</v>
      </c>
      <c r="G479" s="2" t="s">
        <v>19</v>
      </c>
      <c r="H479">
        <v>2</v>
      </c>
      <c r="I479">
        <v>30</v>
      </c>
      <c r="J479">
        <v>60</v>
      </c>
      <c r="K479">
        <v>60</v>
      </c>
      <c r="L479">
        <v>2023</v>
      </c>
      <c r="M479">
        <v>359</v>
      </c>
      <c r="N479">
        <v>45129</v>
      </c>
      <c r="O479" t="str">
        <v>July</v>
      </c>
      <c r="P479" t="str">
        <v>CUST359</v>
      </c>
      <c r="Q479" t="str">
        <v>Male</v>
      </c>
      <c r="R479">
        <v>50</v>
      </c>
      <c r="S479" t="str">
        <v>Clothing</v>
      </c>
      <c r="T479">
        <v>1</v>
      </c>
      <c r="U479">
        <v>50</v>
      </c>
      <c r="V479">
        <v>50</v>
      </c>
      <c r="W479">
        <v>50</v>
      </c>
      <c r="X479">
        <v>2023</v>
      </c>
    </row>
    <row r="480" spans="1:24" x14ac:dyDescent="0.35">
      <c r="A480">
        <v>479</v>
      </c>
      <c r="B480" s="1">
        <v>45162</v>
      </c>
      <c r="C480" s="2" t="s">
        <v>37</v>
      </c>
      <c r="D480" s="2" t="s">
        <v>507</v>
      </c>
      <c r="E480" s="2" t="s">
        <v>14</v>
      </c>
      <c r="F480">
        <v>52</v>
      </c>
      <c r="G480" s="2" t="s">
        <v>22</v>
      </c>
      <c r="H480">
        <v>4</v>
      </c>
      <c r="I480">
        <v>300</v>
      </c>
      <c r="J480">
        <v>1200</v>
      </c>
      <c r="K480">
        <v>1200</v>
      </c>
      <c r="L480">
        <v>2023</v>
      </c>
      <c r="M480">
        <v>360</v>
      </c>
      <c r="N480">
        <v>44994</v>
      </c>
      <c r="O480" t="str">
        <v>March</v>
      </c>
      <c r="P480" t="str">
        <v>CUST360</v>
      </c>
      <c r="Q480" t="str">
        <v>Male</v>
      </c>
      <c r="R480">
        <v>42</v>
      </c>
      <c r="S480" t="str">
        <v>Clothing</v>
      </c>
      <c r="T480">
        <v>4</v>
      </c>
      <c r="U480">
        <v>25</v>
      </c>
      <c r="V480">
        <v>100</v>
      </c>
      <c r="W480">
        <v>100</v>
      </c>
      <c r="X480">
        <v>2023</v>
      </c>
    </row>
    <row r="481" spans="1:24" x14ac:dyDescent="0.35">
      <c r="A481">
        <v>480</v>
      </c>
      <c r="B481" s="1">
        <v>45106</v>
      </c>
      <c r="C481" s="2" t="s">
        <v>62</v>
      </c>
      <c r="D481" s="2" t="s">
        <v>508</v>
      </c>
      <c r="E481" s="2" t="s">
        <v>18</v>
      </c>
      <c r="F481">
        <v>42</v>
      </c>
      <c r="G481" s="2" t="s">
        <v>15</v>
      </c>
      <c r="H481">
        <v>4</v>
      </c>
      <c r="I481">
        <v>500</v>
      </c>
      <c r="J481">
        <v>2000</v>
      </c>
      <c r="K481">
        <v>2000</v>
      </c>
      <c r="L481">
        <v>2023</v>
      </c>
      <c r="M481">
        <v>361</v>
      </c>
      <c r="N481">
        <v>45270</v>
      </c>
      <c r="O481" t="str">
        <v>December</v>
      </c>
      <c r="P481" t="str">
        <v>CUST361</v>
      </c>
      <c r="Q481" t="str">
        <v>Female</v>
      </c>
      <c r="R481">
        <v>34</v>
      </c>
      <c r="S481" t="str">
        <v>Electronics</v>
      </c>
      <c r="T481">
        <v>4</v>
      </c>
      <c r="U481">
        <v>300</v>
      </c>
      <c r="V481">
        <v>1200</v>
      </c>
      <c r="W481">
        <v>1200</v>
      </c>
      <c r="X481">
        <v>2023</v>
      </c>
    </row>
    <row r="482" spans="1:24" x14ac:dyDescent="0.35">
      <c r="A482">
        <v>481</v>
      </c>
      <c r="B482" s="1">
        <v>45083</v>
      </c>
      <c r="C482" s="2" t="s">
        <v>62</v>
      </c>
      <c r="D482" s="2" t="s">
        <v>509</v>
      </c>
      <c r="E482" s="2" t="s">
        <v>18</v>
      </c>
      <c r="F482">
        <v>43</v>
      </c>
      <c r="G482" s="2" t="s">
        <v>22</v>
      </c>
      <c r="H482">
        <v>4</v>
      </c>
      <c r="I482">
        <v>300</v>
      </c>
      <c r="J482">
        <v>1200</v>
      </c>
      <c r="K482">
        <v>1200</v>
      </c>
      <c r="L482">
        <v>2023</v>
      </c>
      <c r="M482">
        <v>362</v>
      </c>
      <c r="N482">
        <v>45257</v>
      </c>
      <c r="O482" t="str">
        <v>November</v>
      </c>
      <c r="P482" t="str">
        <v>CUST362</v>
      </c>
      <c r="Q482" t="str">
        <v>Male</v>
      </c>
      <c r="R482">
        <v>50</v>
      </c>
      <c r="S482" t="str">
        <v>Clothing</v>
      </c>
      <c r="T482">
        <v>1</v>
      </c>
      <c r="U482">
        <v>25</v>
      </c>
      <c r="V482">
        <v>25</v>
      </c>
      <c r="W482">
        <v>25</v>
      </c>
      <c r="X482">
        <v>2023</v>
      </c>
    </row>
    <row r="483" spans="1:24" x14ac:dyDescent="0.35">
      <c r="A483">
        <v>482</v>
      </c>
      <c r="B483" s="1">
        <v>45043</v>
      </c>
      <c r="C483" s="2" t="s">
        <v>26</v>
      </c>
      <c r="D483" s="2" t="s">
        <v>510</v>
      </c>
      <c r="E483" s="2" t="s">
        <v>18</v>
      </c>
      <c r="F483">
        <v>28</v>
      </c>
      <c r="G483" s="2" t="s">
        <v>19</v>
      </c>
      <c r="H483">
        <v>4</v>
      </c>
      <c r="I483">
        <v>300</v>
      </c>
      <c r="J483">
        <v>1200</v>
      </c>
      <c r="K483">
        <v>1200</v>
      </c>
      <c r="L483">
        <v>2023</v>
      </c>
      <c r="M483">
        <v>363</v>
      </c>
      <c r="N483">
        <v>45080</v>
      </c>
      <c r="O483" t="str">
        <v>June</v>
      </c>
      <c r="P483" t="str">
        <v>CUST363</v>
      </c>
      <c r="Q483" t="str">
        <v>Male</v>
      </c>
      <c r="R483">
        <v>64</v>
      </c>
      <c r="S483" t="str">
        <v>Beauty</v>
      </c>
      <c r="T483">
        <v>1</v>
      </c>
      <c r="U483">
        <v>25</v>
      </c>
      <c r="V483">
        <v>25</v>
      </c>
      <c r="W483">
        <v>25</v>
      </c>
      <c r="X483">
        <v>2023</v>
      </c>
    </row>
    <row r="484" spans="1:24" x14ac:dyDescent="0.35">
      <c r="A484">
        <v>483</v>
      </c>
      <c r="B484" s="1">
        <v>45041</v>
      </c>
      <c r="C484" s="2" t="s">
        <v>26</v>
      </c>
      <c r="D484" s="2" t="s">
        <v>511</v>
      </c>
      <c r="E484" s="2" t="s">
        <v>14</v>
      </c>
      <c r="F484">
        <v>55</v>
      </c>
      <c r="G484" s="2" t="s">
        <v>19</v>
      </c>
      <c r="H484">
        <v>1</v>
      </c>
      <c r="I484">
        <v>30</v>
      </c>
      <c r="J484">
        <v>30</v>
      </c>
      <c r="K484">
        <v>30</v>
      </c>
      <c r="L484">
        <v>2023</v>
      </c>
      <c r="M484">
        <v>364</v>
      </c>
      <c r="N484">
        <v>45161</v>
      </c>
      <c r="O484" t="str">
        <v>August</v>
      </c>
      <c r="P484" t="str">
        <v>CUST364</v>
      </c>
      <c r="Q484" t="str">
        <v>Female</v>
      </c>
      <c r="R484">
        <v>19</v>
      </c>
      <c r="S484" t="str">
        <v>Beauty</v>
      </c>
      <c r="T484">
        <v>1</v>
      </c>
      <c r="U484">
        <v>500</v>
      </c>
      <c r="V484">
        <v>500</v>
      </c>
      <c r="W484">
        <v>500</v>
      </c>
      <c r="X484">
        <v>2023</v>
      </c>
    </row>
    <row r="485" spans="1:24" x14ac:dyDescent="0.35">
      <c r="A485">
        <v>484</v>
      </c>
      <c r="B485" s="1">
        <v>44939</v>
      </c>
      <c r="C485" s="2" t="s">
        <v>20</v>
      </c>
      <c r="D485" s="2" t="s">
        <v>512</v>
      </c>
      <c r="E485" s="2" t="s">
        <v>18</v>
      </c>
      <c r="F485">
        <v>19</v>
      </c>
      <c r="G485" s="2" t="s">
        <v>19</v>
      </c>
      <c r="H485">
        <v>4</v>
      </c>
      <c r="I485">
        <v>300</v>
      </c>
      <c r="J485">
        <v>1200</v>
      </c>
      <c r="K485">
        <v>1200</v>
      </c>
      <c r="L485">
        <v>2023</v>
      </c>
      <c r="M485">
        <v>365</v>
      </c>
      <c r="N485">
        <v>45088</v>
      </c>
      <c r="O485" t="str">
        <v>June</v>
      </c>
      <c r="P485" t="str">
        <v>CUST365</v>
      </c>
      <c r="Q485" t="str">
        <v>Male</v>
      </c>
      <c r="R485">
        <v>31</v>
      </c>
      <c r="S485" t="str">
        <v>Clothing</v>
      </c>
      <c r="T485">
        <v>1</v>
      </c>
      <c r="U485">
        <v>300</v>
      </c>
      <c r="V485">
        <v>300</v>
      </c>
      <c r="W485">
        <v>300</v>
      </c>
      <c r="X485">
        <v>2023</v>
      </c>
    </row>
    <row r="486" spans="1:24" x14ac:dyDescent="0.35">
      <c r="A486">
        <v>485</v>
      </c>
      <c r="B486" s="1">
        <v>45264</v>
      </c>
      <c r="C486" s="2" t="s">
        <v>31</v>
      </c>
      <c r="D486" s="2" t="s">
        <v>513</v>
      </c>
      <c r="E486" s="2" t="s">
        <v>14</v>
      </c>
      <c r="F486">
        <v>24</v>
      </c>
      <c r="G486" s="2" t="s">
        <v>22</v>
      </c>
      <c r="H486">
        <v>1</v>
      </c>
      <c r="I486">
        <v>30</v>
      </c>
      <c r="J486">
        <v>30</v>
      </c>
      <c r="K486">
        <v>30</v>
      </c>
      <c r="L486">
        <v>2023</v>
      </c>
      <c r="M486">
        <v>366</v>
      </c>
      <c r="N486">
        <v>44964</v>
      </c>
      <c r="O486" t="str">
        <v>February</v>
      </c>
      <c r="P486" t="str">
        <v>CUST366</v>
      </c>
      <c r="Q486" t="str">
        <v>Male</v>
      </c>
      <c r="R486">
        <v>57</v>
      </c>
      <c r="S486" t="str">
        <v>Clothing</v>
      </c>
      <c r="T486">
        <v>2</v>
      </c>
      <c r="U486">
        <v>50</v>
      </c>
      <c r="V486">
        <v>100</v>
      </c>
      <c r="W486">
        <v>100</v>
      </c>
      <c r="X486">
        <v>2023</v>
      </c>
    </row>
    <row r="487" spans="1:24" x14ac:dyDescent="0.35">
      <c r="A487">
        <v>486</v>
      </c>
      <c r="B487" s="1">
        <v>45025</v>
      </c>
      <c r="C487" s="2" t="s">
        <v>26</v>
      </c>
      <c r="D487" s="2" t="s">
        <v>514</v>
      </c>
      <c r="E487" s="2" t="s">
        <v>18</v>
      </c>
      <c r="F487">
        <v>35</v>
      </c>
      <c r="G487" s="2" t="s">
        <v>22</v>
      </c>
      <c r="H487">
        <v>1</v>
      </c>
      <c r="I487">
        <v>25</v>
      </c>
      <c r="J487">
        <v>25</v>
      </c>
      <c r="K487">
        <v>25</v>
      </c>
      <c r="L487">
        <v>2023</v>
      </c>
      <c r="M487">
        <v>367</v>
      </c>
      <c r="N487">
        <v>44931</v>
      </c>
      <c r="O487" t="str">
        <v>January</v>
      </c>
      <c r="P487" t="str">
        <v>CUST367</v>
      </c>
      <c r="Q487" t="str">
        <v>Female</v>
      </c>
      <c r="R487">
        <v>57</v>
      </c>
      <c r="S487" t="str">
        <v>Electronics</v>
      </c>
      <c r="T487">
        <v>1</v>
      </c>
      <c r="U487">
        <v>50</v>
      </c>
      <c r="V487">
        <v>50</v>
      </c>
      <c r="W487">
        <v>50</v>
      </c>
      <c r="X487">
        <v>2023</v>
      </c>
    </row>
    <row r="488" spans="1:24" x14ac:dyDescent="0.35">
      <c r="A488">
        <v>487</v>
      </c>
      <c r="B488" s="1">
        <v>45131</v>
      </c>
      <c r="C488" s="2" t="s">
        <v>70</v>
      </c>
      <c r="D488" s="2" t="s">
        <v>515</v>
      </c>
      <c r="E488" s="2" t="s">
        <v>14</v>
      </c>
      <c r="F488">
        <v>44</v>
      </c>
      <c r="G488" s="2" t="s">
        <v>19</v>
      </c>
      <c r="H488">
        <v>4</v>
      </c>
      <c r="I488">
        <v>500</v>
      </c>
      <c r="J488">
        <v>2000</v>
      </c>
      <c r="K488">
        <v>2000</v>
      </c>
      <c r="L488">
        <v>2023</v>
      </c>
      <c r="M488">
        <v>368</v>
      </c>
      <c r="N488">
        <v>45161</v>
      </c>
      <c r="O488" t="str">
        <v>August</v>
      </c>
      <c r="P488" t="str">
        <v>CUST368</v>
      </c>
      <c r="Q488" t="str">
        <v>Female</v>
      </c>
      <c r="R488">
        <v>56</v>
      </c>
      <c r="S488" t="str">
        <v>Clothing</v>
      </c>
      <c r="T488">
        <v>4</v>
      </c>
      <c r="U488">
        <v>300</v>
      </c>
      <c r="V488">
        <v>1200</v>
      </c>
      <c r="W488">
        <v>1200</v>
      </c>
      <c r="X488">
        <v>2023</v>
      </c>
    </row>
    <row r="489" spans="1:24" x14ac:dyDescent="0.35">
      <c r="A489">
        <v>488</v>
      </c>
      <c r="B489" s="1">
        <v>45095</v>
      </c>
      <c r="C489" s="2" t="s">
        <v>62</v>
      </c>
      <c r="D489" s="2" t="s">
        <v>516</v>
      </c>
      <c r="E489" s="2" t="s">
        <v>18</v>
      </c>
      <c r="F489">
        <v>51</v>
      </c>
      <c r="G489" s="2" t="s">
        <v>22</v>
      </c>
      <c r="H489">
        <v>3</v>
      </c>
      <c r="I489">
        <v>300</v>
      </c>
      <c r="J489">
        <v>900</v>
      </c>
      <c r="K489">
        <v>900</v>
      </c>
      <c r="L489">
        <v>2023</v>
      </c>
      <c r="M489">
        <v>369</v>
      </c>
      <c r="N489">
        <v>45245</v>
      </c>
      <c r="O489" t="str">
        <v>November</v>
      </c>
      <c r="P489" t="str">
        <v>CUST369</v>
      </c>
      <c r="Q489" t="str">
        <v>Male</v>
      </c>
      <c r="R489">
        <v>23</v>
      </c>
      <c r="S489" t="str">
        <v>Electronics</v>
      </c>
      <c r="T489">
        <v>3</v>
      </c>
      <c r="U489">
        <v>500</v>
      </c>
      <c r="V489">
        <v>1500</v>
      </c>
      <c r="W489">
        <v>1500</v>
      </c>
      <c r="X489">
        <v>2023</v>
      </c>
    </row>
    <row r="490" spans="1:24" x14ac:dyDescent="0.35">
      <c r="A490">
        <v>489</v>
      </c>
      <c r="B490" s="1">
        <v>45069</v>
      </c>
      <c r="C490" s="2" t="s">
        <v>23</v>
      </c>
      <c r="D490" s="2" t="s">
        <v>517</v>
      </c>
      <c r="E490" s="2" t="s">
        <v>14</v>
      </c>
      <c r="F490">
        <v>44</v>
      </c>
      <c r="G490" s="2" t="s">
        <v>22</v>
      </c>
      <c r="H490">
        <v>1</v>
      </c>
      <c r="I490">
        <v>30</v>
      </c>
      <c r="J490">
        <v>30</v>
      </c>
      <c r="K490">
        <v>30</v>
      </c>
      <c r="L490">
        <v>2023</v>
      </c>
      <c r="M490">
        <v>370</v>
      </c>
      <c r="N490">
        <v>45215</v>
      </c>
      <c r="O490" t="str">
        <v>October</v>
      </c>
      <c r="P490" t="str">
        <v>CUST370</v>
      </c>
      <c r="Q490" t="str">
        <v>Male</v>
      </c>
      <c r="R490">
        <v>23</v>
      </c>
      <c r="S490" t="str">
        <v>Electronics</v>
      </c>
      <c r="T490">
        <v>2</v>
      </c>
      <c r="U490">
        <v>30</v>
      </c>
      <c r="V490">
        <v>60</v>
      </c>
      <c r="W490">
        <v>60</v>
      </c>
      <c r="X490">
        <v>2023</v>
      </c>
    </row>
    <row r="491" spans="1:24" x14ac:dyDescent="0.35">
      <c r="A491">
        <v>490</v>
      </c>
      <c r="B491" s="1">
        <v>44962</v>
      </c>
      <c r="C491" s="2" t="s">
        <v>16</v>
      </c>
      <c r="D491" s="2" t="s">
        <v>518</v>
      </c>
      <c r="E491" s="2" t="s">
        <v>14</v>
      </c>
      <c r="F491">
        <v>34</v>
      </c>
      <c r="G491" s="2" t="s">
        <v>19</v>
      </c>
      <c r="H491">
        <v>3</v>
      </c>
      <c r="I491">
        <v>50</v>
      </c>
      <c r="J491">
        <v>150</v>
      </c>
      <c r="K491">
        <v>150</v>
      </c>
      <c r="L491">
        <v>2023</v>
      </c>
      <c r="M491">
        <v>371</v>
      </c>
      <c r="N491">
        <v>44978</v>
      </c>
      <c r="O491" t="str">
        <v>February</v>
      </c>
      <c r="P491" t="str">
        <v>CUST371</v>
      </c>
      <c r="Q491" t="str">
        <v>Female</v>
      </c>
      <c r="R491">
        <v>20</v>
      </c>
      <c r="S491" t="str">
        <v>Beauty</v>
      </c>
      <c r="T491">
        <v>1</v>
      </c>
      <c r="U491">
        <v>25</v>
      </c>
      <c r="V491">
        <v>25</v>
      </c>
      <c r="W491">
        <v>25</v>
      </c>
      <c r="X491">
        <v>2023</v>
      </c>
    </row>
    <row r="492" spans="1:24" x14ac:dyDescent="0.35">
      <c r="A492">
        <v>491</v>
      </c>
      <c r="B492" s="1">
        <v>45069</v>
      </c>
      <c r="C492" s="2" t="s">
        <v>23</v>
      </c>
      <c r="D492" s="2" t="s">
        <v>519</v>
      </c>
      <c r="E492" s="2" t="s">
        <v>18</v>
      </c>
      <c r="F492">
        <v>60</v>
      </c>
      <c r="G492" s="2" t="s">
        <v>22</v>
      </c>
      <c r="H492">
        <v>3</v>
      </c>
      <c r="I492">
        <v>300</v>
      </c>
      <c r="J492">
        <v>900</v>
      </c>
      <c r="K492">
        <v>900</v>
      </c>
      <c r="L492">
        <v>2023</v>
      </c>
      <c r="M492">
        <v>372</v>
      </c>
      <c r="N492">
        <v>44964</v>
      </c>
      <c r="O492" t="str">
        <v>February</v>
      </c>
      <c r="P492" t="str">
        <v>CUST372</v>
      </c>
      <c r="Q492" t="str">
        <v>Female</v>
      </c>
      <c r="R492">
        <v>24</v>
      </c>
      <c r="S492" t="str">
        <v>Beauty</v>
      </c>
      <c r="T492">
        <v>3</v>
      </c>
      <c r="U492">
        <v>500</v>
      </c>
      <c r="V492">
        <v>1500</v>
      </c>
      <c r="W492">
        <v>1500</v>
      </c>
      <c r="X492">
        <v>2023</v>
      </c>
    </row>
    <row r="493" spans="1:24" x14ac:dyDescent="0.35">
      <c r="A493">
        <v>492</v>
      </c>
      <c r="B493" s="1">
        <v>45106</v>
      </c>
      <c r="C493" s="2" t="s">
        <v>62</v>
      </c>
      <c r="D493" s="2" t="s">
        <v>520</v>
      </c>
      <c r="E493" s="2" t="s">
        <v>14</v>
      </c>
      <c r="F493">
        <v>61</v>
      </c>
      <c r="G493" s="2" t="s">
        <v>15</v>
      </c>
      <c r="H493">
        <v>4</v>
      </c>
      <c r="I493">
        <v>25</v>
      </c>
      <c r="J493">
        <v>100</v>
      </c>
      <c r="K493">
        <v>100</v>
      </c>
      <c r="L493">
        <v>2023</v>
      </c>
      <c r="M493">
        <v>373</v>
      </c>
      <c r="N493">
        <v>45202</v>
      </c>
      <c r="O493" t="str">
        <v>October</v>
      </c>
      <c r="P493" t="str">
        <v>CUST373</v>
      </c>
      <c r="Q493" t="str">
        <v>Female</v>
      </c>
      <c r="R493">
        <v>25</v>
      </c>
      <c r="S493" t="str">
        <v>Beauty</v>
      </c>
      <c r="T493">
        <v>2</v>
      </c>
      <c r="U493">
        <v>300</v>
      </c>
      <c r="V493">
        <v>600</v>
      </c>
      <c r="W493">
        <v>600</v>
      </c>
      <c r="X493">
        <v>2023</v>
      </c>
    </row>
    <row r="494" spans="1:24" x14ac:dyDescent="0.35">
      <c r="A494">
        <v>493</v>
      </c>
      <c r="B494" s="1">
        <v>45255</v>
      </c>
      <c r="C494" s="2" t="s">
        <v>12</v>
      </c>
      <c r="D494" s="2" t="s">
        <v>521</v>
      </c>
      <c r="E494" s="2" t="s">
        <v>14</v>
      </c>
      <c r="F494">
        <v>41</v>
      </c>
      <c r="G494" s="2" t="s">
        <v>15</v>
      </c>
      <c r="H494">
        <v>2</v>
      </c>
      <c r="I494">
        <v>25</v>
      </c>
      <c r="J494">
        <v>50</v>
      </c>
      <c r="K494">
        <v>50</v>
      </c>
      <c r="L494">
        <v>2023</v>
      </c>
      <c r="M494">
        <v>374</v>
      </c>
      <c r="N494">
        <v>45036</v>
      </c>
      <c r="O494" t="str">
        <v>April</v>
      </c>
      <c r="P494" t="str">
        <v>CUST374</v>
      </c>
      <c r="Q494" t="str">
        <v>Female</v>
      </c>
      <c r="R494">
        <v>59</v>
      </c>
      <c r="S494" t="str">
        <v>Beauty</v>
      </c>
      <c r="T494">
        <v>3</v>
      </c>
      <c r="U494">
        <v>25</v>
      </c>
      <c r="V494">
        <v>75</v>
      </c>
      <c r="W494">
        <v>75</v>
      </c>
      <c r="X494">
        <v>2023</v>
      </c>
    </row>
    <row r="495" spans="1:24" x14ac:dyDescent="0.35">
      <c r="A495">
        <v>494</v>
      </c>
      <c r="B495" s="1">
        <v>45187</v>
      </c>
      <c r="C495" s="2" t="s">
        <v>44</v>
      </c>
      <c r="D495" s="2" t="s">
        <v>522</v>
      </c>
      <c r="E495" s="2" t="s">
        <v>18</v>
      </c>
      <c r="F495">
        <v>42</v>
      </c>
      <c r="G495" s="2" t="s">
        <v>15</v>
      </c>
      <c r="H495">
        <v>4</v>
      </c>
      <c r="I495">
        <v>50</v>
      </c>
      <c r="J495">
        <v>200</v>
      </c>
      <c r="K495">
        <v>200</v>
      </c>
      <c r="L495">
        <v>2023</v>
      </c>
      <c r="M495">
        <v>375</v>
      </c>
      <c r="N495">
        <v>45186</v>
      </c>
      <c r="O495" t="str">
        <v>September</v>
      </c>
      <c r="P495" t="str">
        <v>CUST375</v>
      </c>
      <c r="Q495" t="str">
        <v>Male</v>
      </c>
      <c r="R495">
        <v>32</v>
      </c>
      <c r="S495" t="str">
        <v>Clothing</v>
      </c>
      <c r="T495">
        <v>1</v>
      </c>
      <c r="U495">
        <v>50</v>
      </c>
      <c r="V495">
        <v>50</v>
      </c>
      <c r="W495">
        <v>50</v>
      </c>
      <c r="X495">
        <v>2023</v>
      </c>
    </row>
    <row r="496" spans="1:24" x14ac:dyDescent="0.35">
      <c r="A496">
        <v>495</v>
      </c>
      <c r="B496" s="1">
        <v>45131</v>
      </c>
      <c r="C496" s="2" t="s">
        <v>70</v>
      </c>
      <c r="D496" s="2" t="s">
        <v>523</v>
      </c>
      <c r="E496" s="2" t="s">
        <v>14</v>
      </c>
      <c r="F496">
        <v>24</v>
      </c>
      <c r="G496" s="2" t="s">
        <v>15</v>
      </c>
      <c r="H496">
        <v>2</v>
      </c>
      <c r="I496">
        <v>30</v>
      </c>
      <c r="J496">
        <v>60</v>
      </c>
      <c r="K496">
        <v>60</v>
      </c>
      <c r="L496">
        <v>2023</v>
      </c>
      <c r="M496">
        <v>376</v>
      </c>
      <c r="N496">
        <v>45062</v>
      </c>
      <c r="O496" t="str">
        <v>May</v>
      </c>
      <c r="P496" t="str">
        <v>CUST376</v>
      </c>
      <c r="Q496" t="str">
        <v>Female</v>
      </c>
      <c r="R496">
        <v>64</v>
      </c>
      <c r="S496" t="str">
        <v>Beauty</v>
      </c>
      <c r="T496">
        <v>1</v>
      </c>
      <c r="U496">
        <v>30</v>
      </c>
      <c r="V496">
        <v>30</v>
      </c>
      <c r="W496">
        <v>30</v>
      </c>
      <c r="X496">
        <v>2023</v>
      </c>
    </row>
    <row r="497" spans="1:24" x14ac:dyDescent="0.35">
      <c r="A497">
        <v>496</v>
      </c>
      <c r="B497" s="1">
        <v>45274</v>
      </c>
      <c r="C497" s="2" t="s">
        <v>31</v>
      </c>
      <c r="D497" s="2" t="s">
        <v>524</v>
      </c>
      <c r="E497" s="2" t="s">
        <v>14</v>
      </c>
      <c r="F497">
        <v>23</v>
      </c>
      <c r="G497" s="2" t="s">
        <v>19</v>
      </c>
      <c r="H497">
        <v>2</v>
      </c>
      <c r="I497">
        <v>300</v>
      </c>
      <c r="J497">
        <v>600</v>
      </c>
      <c r="K497">
        <v>600</v>
      </c>
      <c r="L497">
        <v>2023</v>
      </c>
      <c r="M497">
        <v>377</v>
      </c>
      <c r="N497">
        <v>44994</v>
      </c>
      <c r="O497" t="str">
        <v>March</v>
      </c>
      <c r="P497" t="str">
        <v>CUST377</v>
      </c>
      <c r="Q497" t="str">
        <v>Female</v>
      </c>
      <c r="R497">
        <v>46</v>
      </c>
      <c r="S497" t="str">
        <v>Clothing</v>
      </c>
      <c r="T497">
        <v>4</v>
      </c>
      <c r="U497">
        <v>50</v>
      </c>
      <c r="V497">
        <v>200</v>
      </c>
      <c r="W497">
        <v>200</v>
      </c>
      <c r="X497">
        <v>2023</v>
      </c>
    </row>
    <row r="498" spans="1:24" x14ac:dyDescent="0.35">
      <c r="A498">
        <v>497</v>
      </c>
      <c r="B498" s="1">
        <v>45201</v>
      </c>
      <c r="C498" s="2" t="s">
        <v>33</v>
      </c>
      <c r="D498" s="2" t="s">
        <v>525</v>
      </c>
      <c r="E498" s="2" t="s">
        <v>14</v>
      </c>
      <c r="F498">
        <v>41</v>
      </c>
      <c r="G498" s="2" t="s">
        <v>19</v>
      </c>
      <c r="H498">
        <v>4</v>
      </c>
      <c r="I498">
        <v>30</v>
      </c>
      <c r="J498">
        <v>120</v>
      </c>
      <c r="K498">
        <v>120</v>
      </c>
      <c r="L498">
        <v>2023</v>
      </c>
      <c r="M498">
        <v>378</v>
      </c>
      <c r="N498">
        <v>45105</v>
      </c>
      <c r="O498" t="str">
        <v>June</v>
      </c>
      <c r="P498" t="str">
        <v>CUST378</v>
      </c>
      <c r="Q498" t="str">
        <v>Male</v>
      </c>
      <c r="R498">
        <v>50</v>
      </c>
      <c r="S498" t="str">
        <v>Beauty</v>
      </c>
      <c r="T498">
        <v>1</v>
      </c>
      <c r="U498">
        <v>300</v>
      </c>
      <c r="V498">
        <v>300</v>
      </c>
      <c r="W498">
        <v>300</v>
      </c>
      <c r="X498">
        <v>2023</v>
      </c>
    </row>
    <row r="499" spans="1:24" x14ac:dyDescent="0.35">
      <c r="A499">
        <v>498</v>
      </c>
      <c r="B499" s="1">
        <v>45096</v>
      </c>
      <c r="C499" s="2" t="s">
        <v>62</v>
      </c>
      <c r="D499" s="2" t="s">
        <v>526</v>
      </c>
      <c r="E499" s="2" t="s">
        <v>18</v>
      </c>
      <c r="F499">
        <v>50</v>
      </c>
      <c r="G499" s="2" t="s">
        <v>19</v>
      </c>
      <c r="H499">
        <v>4</v>
      </c>
      <c r="I499">
        <v>25</v>
      </c>
      <c r="J499">
        <v>100</v>
      </c>
      <c r="K499">
        <v>100</v>
      </c>
      <c r="L499">
        <v>2023</v>
      </c>
      <c r="M499">
        <v>379</v>
      </c>
      <c r="N499">
        <v>44962</v>
      </c>
      <c r="O499" t="str">
        <v>February</v>
      </c>
      <c r="P499" t="str">
        <v>CUST379</v>
      </c>
      <c r="Q499" t="str">
        <v>Female</v>
      </c>
      <c r="R499">
        <v>47</v>
      </c>
      <c r="S499" t="str">
        <v>Clothing</v>
      </c>
      <c r="T499">
        <v>1</v>
      </c>
      <c r="U499">
        <v>25</v>
      </c>
      <c r="V499">
        <v>25</v>
      </c>
      <c r="W499">
        <v>25</v>
      </c>
      <c r="X499">
        <v>2023</v>
      </c>
    </row>
    <row r="500" spans="1:24" x14ac:dyDescent="0.35">
      <c r="A500">
        <v>499</v>
      </c>
      <c r="B500" s="1">
        <v>44941</v>
      </c>
      <c r="C500" s="2" t="s">
        <v>20</v>
      </c>
      <c r="D500" s="2" t="s">
        <v>527</v>
      </c>
      <c r="E500" s="2" t="s">
        <v>14</v>
      </c>
      <c r="F500">
        <v>46</v>
      </c>
      <c r="G500" s="2" t="s">
        <v>15</v>
      </c>
      <c r="H500">
        <v>2</v>
      </c>
      <c r="I500">
        <v>30</v>
      </c>
      <c r="J500">
        <v>60</v>
      </c>
      <c r="K500">
        <v>60</v>
      </c>
      <c r="L500">
        <v>2023</v>
      </c>
      <c r="M500">
        <v>380</v>
      </c>
      <c r="N500">
        <v>45052</v>
      </c>
      <c r="O500" t="str">
        <v>May</v>
      </c>
      <c r="P500" t="str">
        <v>CUST380</v>
      </c>
      <c r="Q500" t="str">
        <v>Male</v>
      </c>
      <c r="R500">
        <v>56</v>
      </c>
      <c r="S500" t="str">
        <v>Electronics</v>
      </c>
      <c r="T500">
        <v>2</v>
      </c>
      <c r="U500">
        <v>300</v>
      </c>
      <c r="V500">
        <v>600</v>
      </c>
      <c r="W500">
        <v>600</v>
      </c>
      <c r="X500">
        <v>2023</v>
      </c>
    </row>
    <row r="501" spans="1:24" x14ac:dyDescent="0.35">
      <c r="A501">
        <v>500</v>
      </c>
      <c r="B501" s="1">
        <v>44986</v>
      </c>
      <c r="C501" s="2" t="s">
        <v>28</v>
      </c>
      <c r="D501" s="2" t="s">
        <v>528</v>
      </c>
      <c r="E501" s="2" t="s">
        <v>18</v>
      </c>
      <c r="F501">
        <v>60</v>
      </c>
      <c r="G501" s="2" t="s">
        <v>15</v>
      </c>
      <c r="H501">
        <v>4</v>
      </c>
      <c r="I501">
        <v>25</v>
      </c>
      <c r="J501">
        <v>100</v>
      </c>
      <c r="K501">
        <v>100</v>
      </c>
      <c r="L501">
        <v>2023</v>
      </c>
      <c r="M501">
        <v>381</v>
      </c>
      <c r="N501">
        <v>45116</v>
      </c>
      <c r="O501" t="str">
        <v>July</v>
      </c>
      <c r="P501" t="str">
        <v>CUST381</v>
      </c>
      <c r="Q501" t="str">
        <v>Female</v>
      </c>
      <c r="R501">
        <v>44</v>
      </c>
      <c r="S501" t="str">
        <v>Clothing</v>
      </c>
      <c r="T501">
        <v>4</v>
      </c>
      <c r="U501">
        <v>25</v>
      </c>
      <c r="V501">
        <v>100</v>
      </c>
      <c r="W501">
        <v>100</v>
      </c>
      <c r="X501">
        <v>2023</v>
      </c>
    </row>
    <row r="502" spans="1:24" x14ac:dyDescent="0.35">
      <c r="A502">
        <v>501</v>
      </c>
      <c r="B502" s="1">
        <v>45060</v>
      </c>
      <c r="C502" s="2" t="s">
        <v>23</v>
      </c>
      <c r="D502" s="2" t="s">
        <v>529</v>
      </c>
      <c r="E502" s="2" t="s">
        <v>14</v>
      </c>
      <c r="F502">
        <v>39</v>
      </c>
      <c r="G502" s="2" t="s">
        <v>22</v>
      </c>
      <c r="H502">
        <v>2</v>
      </c>
      <c r="I502">
        <v>30</v>
      </c>
      <c r="J502">
        <v>60</v>
      </c>
      <c r="K502">
        <v>60</v>
      </c>
      <c r="L502">
        <v>2023</v>
      </c>
      <c r="M502">
        <v>382</v>
      </c>
      <c r="N502">
        <v>45072</v>
      </c>
      <c r="O502" t="str">
        <v>May</v>
      </c>
      <c r="P502" t="str">
        <v>CUST382</v>
      </c>
      <c r="Q502" t="str">
        <v>Female</v>
      </c>
      <c r="R502">
        <v>53</v>
      </c>
      <c r="S502" t="str">
        <v>Clothing</v>
      </c>
      <c r="T502">
        <v>2</v>
      </c>
      <c r="U502">
        <v>500</v>
      </c>
      <c r="V502">
        <v>1000</v>
      </c>
      <c r="W502">
        <v>1000</v>
      </c>
      <c r="X502">
        <v>2023</v>
      </c>
    </row>
    <row r="503" spans="1:24" x14ac:dyDescent="0.35">
      <c r="A503">
        <v>502</v>
      </c>
      <c r="B503" s="1">
        <v>45018</v>
      </c>
      <c r="C503" s="2" t="s">
        <v>26</v>
      </c>
      <c r="D503" s="2" t="s">
        <v>530</v>
      </c>
      <c r="E503" s="2" t="s">
        <v>14</v>
      </c>
      <c r="F503">
        <v>43</v>
      </c>
      <c r="G503" s="2" t="s">
        <v>22</v>
      </c>
      <c r="H503">
        <v>3</v>
      </c>
      <c r="I503">
        <v>50</v>
      </c>
      <c r="J503">
        <v>150</v>
      </c>
      <c r="K503">
        <v>150</v>
      </c>
      <c r="L503">
        <v>2023</v>
      </c>
      <c r="M503">
        <v>383</v>
      </c>
      <c r="N503">
        <v>45007</v>
      </c>
      <c r="O503" t="str">
        <v>March</v>
      </c>
      <c r="P503" t="str">
        <v>CUST383</v>
      </c>
      <c r="Q503" t="str">
        <v>Female</v>
      </c>
      <c r="R503">
        <v>46</v>
      </c>
      <c r="S503" t="str">
        <v>Beauty</v>
      </c>
      <c r="T503">
        <v>3</v>
      </c>
      <c r="U503">
        <v>30</v>
      </c>
      <c r="V503">
        <v>90</v>
      </c>
      <c r="W503">
        <v>90</v>
      </c>
      <c r="X503">
        <v>2023</v>
      </c>
    </row>
    <row r="504" spans="1:24" x14ac:dyDescent="0.35">
      <c r="A504">
        <v>503</v>
      </c>
      <c r="B504" s="1">
        <v>45224</v>
      </c>
      <c r="C504" s="2" t="s">
        <v>33</v>
      </c>
      <c r="D504" s="2" t="s">
        <v>531</v>
      </c>
      <c r="E504" s="2" t="s">
        <v>14</v>
      </c>
      <c r="F504">
        <v>45</v>
      </c>
      <c r="G504" s="2" t="s">
        <v>15</v>
      </c>
      <c r="H504">
        <v>4</v>
      </c>
      <c r="I504">
        <v>500</v>
      </c>
      <c r="J504">
        <v>2000</v>
      </c>
      <c r="K504">
        <v>2000</v>
      </c>
      <c r="L504">
        <v>2023</v>
      </c>
      <c r="M504">
        <v>384</v>
      </c>
      <c r="N504">
        <v>45151</v>
      </c>
      <c r="O504" t="str">
        <v>August</v>
      </c>
      <c r="P504" t="str">
        <v>CUST384</v>
      </c>
      <c r="Q504" t="str">
        <v>Male</v>
      </c>
      <c r="R504">
        <v>55</v>
      </c>
      <c r="S504" t="str">
        <v>Clothing</v>
      </c>
      <c r="T504">
        <v>1</v>
      </c>
      <c r="U504">
        <v>500</v>
      </c>
      <c r="V504">
        <v>500</v>
      </c>
      <c r="W504">
        <v>500</v>
      </c>
      <c r="X504">
        <v>2023</v>
      </c>
    </row>
    <row r="505" spans="1:24" x14ac:dyDescent="0.35">
      <c r="A505">
        <v>504</v>
      </c>
      <c r="B505" s="1">
        <v>45062</v>
      </c>
      <c r="C505" s="2" t="s">
        <v>23</v>
      </c>
      <c r="D505" s="2" t="s">
        <v>532</v>
      </c>
      <c r="E505" s="2" t="s">
        <v>18</v>
      </c>
      <c r="F505">
        <v>38</v>
      </c>
      <c r="G505" s="2" t="s">
        <v>15</v>
      </c>
      <c r="H505">
        <v>3</v>
      </c>
      <c r="I505">
        <v>50</v>
      </c>
      <c r="J505">
        <v>150</v>
      </c>
      <c r="K505">
        <v>150</v>
      </c>
      <c r="L505">
        <v>2023</v>
      </c>
      <c r="M505">
        <v>385</v>
      </c>
      <c r="N505">
        <v>45205</v>
      </c>
      <c r="O505" t="str">
        <v>October</v>
      </c>
      <c r="P505" t="str">
        <v>CUST385</v>
      </c>
      <c r="Q505" t="str">
        <v>Male</v>
      </c>
      <c r="R505">
        <v>50</v>
      </c>
      <c r="S505" t="str">
        <v>Electronics</v>
      </c>
      <c r="T505">
        <v>3</v>
      </c>
      <c r="U505">
        <v>500</v>
      </c>
      <c r="V505">
        <v>1500</v>
      </c>
      <c r="W505">
        <v>1500</v>
      </c>
      <c r="X505">
        <v>2023</v>
      </c>
    </row>
    <row r="506" spans="1:24" x14ac:dyDescent="0.35">
      <c r="A506">
        <v>505</v>
      </c>
      <c r="B506" s="1">
        <v>44946</v>
      </c>
      <c r="C506" s="2" t="s">
        <v>20</v>
      </c>
      <c r="D506" s="2" t="s">
        <v>533</v>
      </c>
      <c r="E506" s="2" t="s">
        <v>14</v>
      </c>
      <c r="F506">
        <v>24</v>
      </c>
      <c r="G506" s="2" t="s">
        <v>15</v>
      </c>
      <c r="H506">
        <v>1</v>
      </c>
      <c r="I506">
        <v>50</v>
      </c>
      <c r="J506">
        <v>50</v>
      </c>
      <c r="K506">
        <v>50</v>
      </c>
      <c r="L506">
        <v>2023</v>
      </c>
      <c r="M506">
        <v>386</v>
      </c>
      <c r="N506">
        <v>45287</v>
      </c>
      <c r="O506" t="str">
        <v>December</v>
      </c>
      <c r="P506" t="str">
        <v>CUST386</v>
      </c>
      <c r="Q506" t="str">
        <v>Female</v>
      </c>
      <c r="R506">
        <v>54</v>
      </c>
      <c r="S506" t="str">
        <v>Electronics</v>
      </c>
      <c r="T506">
        <v>2</v>
      </c>
      <c r="U506">
        <v>300</v>
      </c>
      <c r="V506">
        <v>600</v>
      </c>
      <c r="W506">
        <v>600</v>
      </c>
      <c r="X506">
        <v>2023</v>
      </c>
    </row>
    <row r="507" spans="1:24" x14ac:dyDescent="0.35">
      <c r="A507">
        <v>506</v>
      </c>
      <c r="B507" s="1">
        <v>44982</v>
      </c>
      <c r="C507" s="2" t="s">
        <v>16</v>
      </c>
      <c r="D507" s="2" t="s">
        <v>534</v>
      </c>
      <c r="E507" s="2" t="s">
        <v>14</v>
      </c>
      <c r="F507">
        <v>34</v>
      </c>
      <c r="G507" s="2" t="s">
        <v>15</v>
      </c>
      <c r="H507">
        <v>3</v>
      </c>
      <c r="I507">
        <v>500</v>
      </c>
      <c r="J507">
        <v>1500</v>
      </c>
      <c r="K507">
        <v>1500</v>
      </c>
      <c r="L507">
        <v>2023</v>
      </c>
      <c r="M507">
        <v>387</v>
      </c>
      <c r="N507">
        <v>45081</v>
      </c>
      <c r="O507" t="str">
        <v>June</v>
      </c>
      <c r="P507" t="str">
        <v>CUST387</v>
      </c>
      <c r="Q507" t="str">
        <v>Male</v>
      </c>
      <c r="R507">
        <v>44</v>
      </c>
      <c r="S507" t="str">
        <v>Beauty</v>
      </c>
      <c r="T507">
        <v>1</v>
      </c>
      <c r="U507">
        <v>30</v>
      </c>
      <c r="V507">
        <v>30</v>
      </c>
      <c r="W507">
        <v>30</v>
      </c>
      <c r="X507">
        <v>2023</v>
      </c>
    </row>
    <row r="508" spans="1:24" x14ac:dyDescent="0.35">
      <c r="A508">
        <v>507</v>
      </c>
      <c r="B508" s="1">
        <v>45232</v>
      </c>
      <c r="C508" s="2" t="s">
        <v>12</v>
      </c>
      <c r="D508" s="2" t="s">
        <v>535</v>
      </c>
      <c r="E508" s="2" t="s">
        <v>18</v>
      </c>
      <c r="F508">
        <v>37</v>
      </c>
      <c r="G508" s="2" t="s">
        <v>22</v>
      </c>
      <c r="H508">
        <v>3</v>
      </c>
      <c r="I508">
        <v>500</v>
      </c>
      <c r="J508">
        <v>1500</v>
      </c>
      <c r="K508">
        <v>1500</v>
      </c>
      <c r="L508">
        <v>2023</v>
      </c>
      <c r="M508">
        <v>388</v>
      </c>
      <c r="N508">
        <v>45240</v>
      </c>
      <c r="O508" t="str">
        <v>November</v>
      </c>
      <c r="P508" t="str">
        <v>CUST388</v>
      </c>
      <c r="Q508" t="str">
        <v>Male</v>
      </c>
      <c r="R508">
        <v>50</v>
      </c>
      <c r="S508" t="str">
        <v>Electronics</v>
      </c>
      <c r="T508">
        <v>1</v>
      </c>
      <c r="U508">
        <v>25</v>
      </c>
      <c r="V508">
        <v>25</v>
      </c>
      <c r="W508">
        <v>25</v>
      </c>
      <c r="X508">
        <v>2023</v>
      </c>
    </row>
    <row r="509" spans="1:24" x14ac:dyDescent="0.35">
      <c r="A509">
        <v>508</v>
      </c>
      <c r="B509" s="1">
        <v>45149</v>
      </c>
      <c r="C509" s="2" t="s">
        <v>37</v>
      </c>
      <c r="D509" s="2" t="s">
        <v>536</v>
      </c>
      <c r="E509" s="2" t="s">
        <v>14</v>
      </c>
      <c r="F509">
        <v>58</v>
      </c>
      <c r="G509" s="2" t="s">
        <v>15</v>
      </c>
      <c r="H509">
        <v>2</v>
      </c>
      <c r="I509">
        <v>300</v>
      </c>
      <c r="J509">
        <v>600</v>
      </c>
      <c r="K509">
        <v>600</v>
      </c>
      <c r="L509">
        <v>2023</v>
      </c>
      <c r="M509">
        <v>389</v>
      </c>
      <c r="N509">
        <v>45261</v>
      </c>
      <c r="O509" t="str">
        <v>December</v>
      </c>
      <c r="P509" t="str">
        <v>CUST389</v>
      </c>
      <c r="Q509" t="str">
        <v>Male</v>
      </c>
      <c r="R509">
        <v>21</v>
      </c>
      <c r="S509" t="str">
        <v>Clothing</v>
      </c>
      <c r="T509">
        <v>2</v>
      </c>
      <c r="U509">
        <v>25</v>
      </c>
      <c r="V509">
        <v>50</v>
      </c>
      <c r="W509">
        <v>50</v>
      </c>
      <c r="X509">
        <v>2023</v>
      </c>
    </row>
    <row r="510" spans="1:24" x14ac:dyDescent="0.35">
      <c r="A510">
        <v>509</v>
      </c>
      <c r="B510" s="1">
        <v>45103</v>
      </c>
      <c r="C510" s="2" t="s">
        <v>62</v>
      </c>
      <c r="D510" s="2" t="s">
        <v>537</v>
      </c>
      <c r="E510" s="2" t="s">
        <v>18</v>
      </c>
      <c r="F510">
        <v>37</v>
      </c>
      <c r="G510" s="2" t="s">
        <v>22</v>
      </c>
      <c r="H510">
        <v>3</v>
      </c>
      <c r="I510">
        <v>300</v>
      </c>
      <c r="J510">
        <v>900</v>
      </c>
      <c r="K510">
        <v>900</v>
      </c>
      <c r="L510">
        <v>2023</v>
      </c>
      <c r="M510">
        <v>390</v>
      </c>
      <c r="N510">
        <v>45197</v>
      </c>
      <c r="O510" t="str">
        <v>September</v>
      </c>
      <c r="P510" t="str">
        <v>CUST390</v>
      </c>
      <c r="Q510" t="str">
        <v>Male</v>
      </c>
      <c r="R510">
        <v>39</v>
      </c>
      <c r="S510" t="str">
        <v>Electronics</v>
      </c>
      <c r="T510">
        <v>2</v>
      </c>
      <c r="U510">
        <v>50</v>
      </c>
      <c r="V510">
        <v>100</v>
      </c>
      <c r="W510">
        <v>100</v>
      </c>
      <c r="X510">
        <v>2023</v>
      </c>
    </row>
    <row r="511" spans="1:24" x14ac:dyDescent="0.35">
      <c r="A511">
        <v>510</v>
      </c>
      <c r="B511" s="1">
        <v>45087</v>
      </c>
      <c r="C511" s="2" t="s">
        <v>62</v>
      </c>
      <c r="D511" s="2" t="s">
        <v>538</v>
      </c>
      <c r="E511" s="2" t="s">
        <v>18</v>
      </c>
      <c r="F511">
        <v>39</v>
      </c>
      <c r="G511" s="2" t="s">
        <v>15</v>
      </c>
      <c r="H511">
        <v>4</v>
      </c>
      <c r="I511">
        <v>50</v>
      </c>
      <c r="J511">
        <v>200</v>
      </c>
      <c r="K511">
        <v>200</v>
      </c>
      <c r="L511">
        <v>2023</v>
      </c>
      <c r="M511">
        <v>391</v>
      </c>
      <c r="N511">
        <v>44931</v>
      </c>
      <c r="O511" t="str">
        <v>January</v>
      </c>
      <c r="P511" t="str">
        <v>CUST391</v>
      </c>
      <c r="Q511" t="str">
        <v>Male</v>
      </c>
      <c r="R511">
        <v>19</v>
      </c>
      <c r="S511" t="str">
        <v>Beauty</v>
      </c>
      <c r="T511">
        <v>2</v>
      </c>
      <c r="U511">
        <v>25</v>
      </c>
      <c r="V511">
        <v>50</v>
      </c>
      <c r="W511">
        <v>50</v>
      </c>
      <c r="X511">
        <v>2023</v>
      </c>
    </row>
    <row r="512" spans="1:24" x14ac:dyDescent="0.35">
      <c r="A512">
        <v>511</v>
      </c>
      <c r="B512" s="1">
        <v>45150</v>
      </c>
      <c r="C512" s="2" t="s">
        <v>37</v>
      </c>
      <c r="D512" s="2" t="s">
        <v>539</v>
      </c>
      <c r="E512" s="2" t="s">
        <v>14</v>
      </c>
      <c r="F512">
        <v>45</v>
      </c>
      <c r="G512" s="2" t="s">
        <v>15</v>
      </c>
      <c r="H512">
        <v>2</v>
      </c>
      <c r="I512">
        <v>50</v>
      </c>
      <c r="J512">
        <v>100</v>
      </c>
      <c r="K512">
        <v>100</v>
      </c>
      <c r="L512">
        <v>2023</v>
      </c>
      <c r="M512">
        <v>392</v>
      </c>
      <c r="N512">
        <v>45268</v>
      </c>
      <c r="O512" t="str">
        <v>December</v>
      </c>
      <c r="P512" t="str">
        <v>CUST392</v>
      </c>
      <c r="Q512" t="str">
        <v>Male</v>
      </c>
      <c r="R512">
        <v>27</v>
      </c>
      <c r="S512" t="str">
        <v>Clothing</v>
      </c>
      <c r="T512">
        <v>2</v>
      </c>
      <c r="U512">
        <v>300</v>
      </c>
      <c r="V512">
        <v>600</v>
      </c>
      <c r="W512">
        <v>600</v>
      </c>
      <c r="X512">
        <v>2023</v>
      </c>
    </row>
    <row r="513" spans="1:24" x14ac:dyDescent="0.35">
      <c r="A513">
        <v>512</v>
      </c>
      <c r="B513" s="1">
        <v>45237</v>
      </c>
      <c r="C513" s="2" t="s">
        <v>12</v>
      </c>
      <c r="D513" s="2" t="s">
        <v>540</v>
      </c>
      <c r="E513" s="2" t="s">
        <v>18</v>
      </c>
      <c r="F513">
        <v>57</v>
      </c>
      <c r="G513" s="2" t="s">
        <v>15</v>
      </c>
      <c r="H513">
        <v>1</v>
      </c>
      <c r="I513">
        <v>25</v>
      </c>
      <c r="J513">
        <v>25</v>
      </c>
      <c r="K513">
        <v>25</v>
      </c>
      <c r="L513">
        <v>2023</v>
      </c>
      <c r="M513">
        <v>393</v>
      </c>
      <c r="N513">
        <v>45210</v>
      </c>
      <c r="O513" t="str">
        <v>October</v>
      </c>
      <c r="P513" t="str">
        <v>CUST393</v>
      </c>
      <c r="Q513" t="str">
        <v>Female</v>
      </c>
      <c r="R513">
        <v>22</v>
      </c>
      <c r="S513" t="str">
        <v>Beauty</v>
      </c>
      <c r="T513">
        <v>2</v>
      </c>
      <c r="U513">
        <v>500</v>
      </c>
      <c r="V513">
        <v>1000</v>
      </c>
      <c r="W513">
        <v>1000</v>
      </c>
      <c r="X513">
        <v>2023</v>
      </c>
    </row>
    <row r="514" spans="1:24" x14ac:dyDescent="0.35">
      <c r="A514">
        <v>513</v>
      </c>
      <c r="B514" s="1">
        <v>45188</v>
      </c>
      <c r="C514" s="2" t="s">
        <v>44</v>
      </c>
      <c r="D514" s="2" t="s">
        <v>541</v>
      </c>
      <c r="E514" s="2" t="s">
        <v>14</v>
      </c>
      <c r="F514">
        <v>24</v>
      </c>
      <c r="G514" s="2" t="s">
        <v>22</v>
      </c>
      <c r="H514">
        <v>4</v>
      </c>
      <c r="I514">
        <v>25</v>
      </c>
      <c r="J514">
        <v>100</v>
      </c>
      <c r="K514">
        <v>100</v>
      </c>
      <c r="L514">
        <v>2023</v>
      </c>
      <c r="M514">
        <v>394</v>
      </c>
      <c r="N514">
        <v>45080</v>
      </c>
      <c r="O514" t="str">
        <v>June</v>
      </c>
      <c r="P514" t="str">
        <v>CUST394</v>
      </c>
      <c r="Q514" t="str">
        <v>Female</v>
      </c>
      <c r="R514">
        <v>27</v>
      </c>
      <c r="S514" t="str">
        <v>Clothing</v>
      </c>
      <c r="T514">
        <v>1</v>
      </c>
      <c r="U514">
        <v>500</v>
      </c>
      <c r="V514">
        <v>500</v>
      </c>
      <c r="W514">
        <v>500</v>
      </c>
      <c r="X514">
        <v>2023</v>
      </c>
    </row>
    <row r="515" spans="1:24" x14ac:dyDescent="0.35">
      <c r="A515">
        <v>514</v>
      </c>
      <c r="B515" s="1">
        <v>44986</v>
      </c>
      <c r="C515" s="2" t="s">
        <v>28</v>
      </c>
      <c r="D515" s="2" t="s">
        <v>542</v>
      </c>
      <c r="E515" s="2" t="s">
        <v>18</v>
      </c>
      <c r="F515">
        <v>18</v>
      </c>
      <c r="G515" s="2" t="s">
        <v>22</v>
      </c>
      <c r="H515">
        <v>1</v>
      </c>
      <c r="I515">
        <v>300</v>
      </c>
      <c r="J515">
        <v>300</v>
      </c>
      <c r="K515">
        <v>300</v>
      </c>
      <c r="L515">
        <v>2023</v>
      </c>
      <c r="M515">
        <v>395</v>
      </c>
      <c r="N515">
        <v>45266</v>
      </c>
      <c r="O515" t="str">
        <v>December</v>
      </c>
      <c r="P515" t="str">
        <v>CUST395</v>
      </c>
      <c r="Q515" t="str">
        <v>Male</v>
      </c>
      <c r="R515">
        <v>50</v>
      </c>
      <c r="S515" t="str">
        <v>Electronics</v>
      </c>
      <c r="T515">
        <v>2</v>
      </c>
      <c r="U515">
        <v>500</v>
      </c>
      <c r="V515">
        <v>1000</v>
      </c>
      <c r="W515">
        <v>1000</v>
      </c>
      <c r="X515">
        <v>2023</v>
      </c>
    </row>
    <row r="516" spans="1:24" x14ac:dyDescent="0.35">
      <c r="A516">
        <v>515</v>
      </c>
      <c r="B516" s="1">
        <v>45124</v>
      </c>
      <c r="C516" s="2" t="s">
        <v>70</v>
      </c>
      <c r="D516" s="2" t="s">
        <v>543</v>
      </c>
      <c r="E516" s="2" t="s">
        <v>18</v>
      </c>
      <c r="F516">
        <v>49</v>
      </c>
      <c r="G516" s="2" t="s">
        <v>19</v>
      </c>
      <c r="H516">
        <v>3</v>
      </c>
      <c r="I516">
        <v>300</v>
      </c>
      <c r="J516">
        <v>900</v>
      </c>
      <c r="K516">
        <v>900</v>
      </c>
      <c r="L516">
        <v>2023</v>
      </c>
      <c r="M516">
        <v>396</v>
      </c>
      <c r="N516">
        <v>44980</v>
      </c>
      <c r="O516" t="str">
        <v>February</v>
      </c>
      <c r="P516" t="str">
        <v>CUST396</v>
      </c>
      <c r="Q516" t="str">
        <v>Female</v>
      </c>
      <c r="R516">
        <v>55</v>
      </c>
      <c r="S516" t="str">
        <v>Beauty</v>
      </c>
      <c r="T516">
        <v>1</v>
      </c>
      <c r="U516">
        <v>30</v>
      </c>
      <c r="V516">
        <v>30</v>
      </c>
      <c r="W516">
        <v>30</v>
      </c>
      <c r="X516">
        <v>2023</v>
      </c>
    </row>
    <row r="517" spans="1:24" x14ac:dyDescent="0.35">
      <c r="A517">
        <v>516</v>
      </c>
      <c r="B517" s="1">
        <v>45222</v>
      </c>
      <c r="C517" s="2" t="s">
        <v>33</v>
      </c>
      <c r="D517" s="2" t="s">
        <v>544</v>
      </c>
      <c r="E517" s="2" t="s">
        <v>14</v>
      </c>
      <c r="F517">
        <v>30</v>
      </c>
      <c r="G517" s="2" t="s">
        <v>15</v>
      </c>
      <c r="H517">
        <v>4</v>
      </c>
      <c r="I517">
        <v>25</v>
      </c>
      <c r="J517">
        <v>100</v>
      </c>
      <c r="K517">
        <v>100</v>
      </c>
      <c r="L517">
        <v>2023</v>
      </c>
      <c r="M517">
        <v>397</v>
      </c>
      <c r="N517">
        <v>44995</v>
      </c>
      <c r="O517" t="str">
        <v>March</v>
      </c>
      <c r="P517" t="str">
        <v>CUST397</v>
      </c>
      <c r="Q517" t="str">
        <v>Female</v>
      </c>
      <c r="R517">
        <v>30</v>
      </c>
      <c r="S517" t="str">
        <v>Beauty</v>
      </c>
      <c r="T517">
        <v>1</v>
      </c>
      <c r="U517">
        <v>25</v>
      </c>
      <c r="V517">
        <v>25</v>
      </c>
      <c r="W517">
        <v>25</v>
      </c>
      <c r="X517">
        <v>2023</v>
      </c>
    </row>
    <row r="518" spans="1:24" x14ac:dyDescent="0.35">
      <c r="A518">
        <v>517</v>
      </c>
      <c r="B518" s="1">
        <v>45024</v>
      </c>
      <c r="C518" s="2" t="s">
        <v>26</v>
      </c>
      <c r="D518" s="2" t="s">
        <v>545</v>
      </c>
      <c r="E518" s="2" t="s">
        <v>18</v>
      </c>
      <c r="F518">
        <v>47</v>
      </c>
      <c r="G518" s="2" t="s">
        <v>19</v>
      </c>
      <c r="H518">
        <v>4</v>
      </c>
      <c r="I518">
        <v>25</v>
      </c>
      <c r="J518">
        <v>100</v>
      </c>
      <c r="K518">
        <v>100</v>
      </c>
      <c r="L518">
        <v>2023</v>
      </c>
      <c r="M518">
        <v>398</v>
      </c>
      <c r="N518">
        <v>45062</v>
      </c>
      <c r="O518" t="str">
        <v>May</v>
      </c>
      <c r="P518" t="str">
        <v>CUST398</v>
      </c>
      <c r="Q518" t="str">
        <v>Female</v>
      </c>
      <c r="R518">
        <v>48</v>
      </c>
      <c r="S518" t="str">
        <v>Clothing</v>
      </c>
      <c r="T518">
        <v>2</v>
      </c>
      <c r="U518">
        <v>300</v>
      </c>
      <c r="V518">
        <v>600</v>
      </c>
      <c r="W518">
        <v>600</v>
      </c>
      <c r="X518">
        <v>2023</v>
      </c>
    </row>
    <row r="519" spans="1:24" x14ac:dyDescent="0.35">
      <c r="A519">
        <v>518</v>
      </c>
      <c r="B519" s="1">
        <v>45057</v>
      </c>
      <c r="C519" s="2" t="s">
        <v>23</v>
      </c>
      <c r="D519" s="2" t="s">
        <v>546</v>
      </c>
      <c r="E519" s="2" t="s">
        <v>18</v>
      </c>
      <c r="F519">
        <v>40</v>
      </c>
      <c r="G519" s="2" t="s">
        <v>19</v>
      </c>
      <c r="H519">
        <v>1</v>
      </c>
      <c r="I519">
        <v>30</v>
      </c>
      <c r="J519">
        <v>30</v>
      </c>
      <c r="K519">
        <v>30</v>
      </c>
      <c r="L519">
        <v>2023</v>
      </c>
      <c r="M519">
        <v>399</v>
      </c>
      <c r="N519">
        <v>44986</v>
      </c>
      <c r="O519" t="str">
        <v>March</v>
      </c>
      <c r="P519" t="str">
        <v>CUST399</v>
      </c>
      <c r="Q519" t="str">
        <v>Female</v>
      </c>
      <c r="R519">
        <v>64</v>
      </c>
      <c r="S519" t="str">
        <v>Beauty</v>
      </c>
      <c r="T519">
        <v>2</v>
      </c>
      <c r="U519">
        <v>30</v>
      </c>
      <c r="V519">
        <v>60</v>
      </c>
      <c r="W519">
        <v>60</v>
      </c>
      <c r="X519">
        <v>2023</v>
      </c>
    </row>
    <row r="520" spans="1:24" x14ac:dyDescent="0.35">
      <c r="A520">
        <v>519</v>
      </c>
      <c r="B520" s="1">
        <v>44949</v>
      </c>
      <c r="C520" s="2" t="s">
        <v>20</v>
      </c>
      <c r="D520" s="2" t="s">
        <v>547</v>
      </c>
      <c r="E520" s="2" t="s">
        <v>18</v>
      </c>
      <c r="F520">
        <v>36</v>
      </c>
      <c r="G520" s="2" t="s">
        <v>22</v>
      </c>
      <c r="H520">
        <v>4</v>
      </c>
      <c r="I520">
        <v>30</v>
      </c>
      <c r="J520">
        <v>120</v>
      </c>
      <c r="K520">
        <v>120</v>
      </c>
      <c r="L520">
        <v>2023</v>
      </c>
      <c r="M520">
        <v>400</v>
      </c>
      <c r="N520">
        <v>44981</v>
      </c>
      <c r="O520" t="str">
        <v>February</v>
      </c>
      <c r="P520" t="str">
        <v>CUST400</v>
      </c>
      <c r="Q520" t="str">
        <v>Male</v>
      </c>
      <c r="R520">
        <v>53</v>
      </c>
      <c r="S520" t="str">
        <v>Clothing</v>
      </c>
      <c r="T520">
        <v>4</v>
      </c>
      <c r="U520">
        <v>50</v>
      </c>
      <c r="V520">
        <v>200</v>
      </c>
      <c r="W520">
        <v>200</v>
      </c>
      <c r="X520">
        <v>2023</v>
      </c>
    </row>
    <row r="521" spans="1:24" x14ac:dyDescent="0.35">
      <c r="A521">
        <v>520</v>
      </c>
      <c r="B521" s="1">
        <v>45289</v>
      </c>
      <c r="C521" s="2" t="s">
        <v>31</v>
      </c>
      <c r="D521" s="2" t="s">
        <v>548</v>
      </c>
      <c r="E521" s="2" t="s">
        <v>18</v>
      </c>
      <c r="F521">
        <v>49</v>
      </c>
      <c r="G521" s="2" t="s">
        <v>22</v>
      </c>
      <c r="H521">
        <v>4</v>
      </c>
      <c r="I521">
        <v>25</v>
      </c>
      <c r="J521">
        <v>100</v>
      </c>
      <c r="K521">
        <v>100</v>
      </c>
      <c r="L521">
        <v>2023</v>
      </c>
      <c r="M521">
        <v>401</v>
      </c>
      <c r="N521">
        <v>45210</v>
      </c>
      <c r="O521" t="str">
        <v>October</v>
      </c>
      <c r="P521" t="str">
        <v>CUST401</v>
      </c>
      <c r="Q521" t="str">
        <v>Female</v>
      </c>
      <c r="R521">
        <v>62</v>
      </c>
      <c r="S521" t="str">
        <v>Clothing</v>
      </c>
      <c r="T521">
        <v>1</v>
      </c>
      <c r="U521">
        <v>300</v>
      </c>
      <c r="V521">
        <v>300</v>
      </c>
      <c r="W521">
        <v>300</v>
      </c>
      <c r="X521">
        <v>2023</v>
      </c>
    </row>
    <row r="522" spans="1:24" x14ac:dyDescent="0.35">
      <c r="A522">
        <v>521</v>
      </c>
      <c r="B522" s="1">
        <v>45150</v>
      </c>
      <c r="C522" s="2" t="s">
        <v>37</v>
      </c>
      <c r="D522" s="2" t="s">
        <v>549</v>
      </c>
      <c r="E522" s="2" t="s">
        <v>18</v>
      </c>
      <c r="F522">
        <v>47</v>
      </c>
      <c r="G522" s="2" t="s">
        <v>19</v>
      </c>
      <c r="H522">
        <v>4</v>
      </c>
      <c r="I522">
        <v>30</v>
      </c>
      <c r="J522">
        <v>120</v>
      </c>
      <c r="K522">
        <v>120</v>
      </c>
      <c r="L522">
        <v>2023</v>
      </c>
      <c r="M522">
        <v>402</v>
      </c>
      <c r="N522">
        <v>45006</v>
      </c>
      <c r="O522" t="str">
        <v>March</v>
      </c>
      <c r="P522" t="str">
        <v>CUST402</v>
      </c>
      <c r="Q522" t="str">
        <v>Female</v>
      </c>
      <c r="R522">
        <v>41</v>
      </c>
      <c r="S522" t="str">
        <v>Clothing</v>
      </c>
      <c r="T522">
        <v>2</v>
      </c>
      <c r="U522">
        <v>300</v>
      </c>
      <c r="V522">
        <v>600</v>
      </c>
      <c r="W522">
        <v>600</v>
      </c>
      <c r="X522">
        <v>2023</v>
      </c>
    </row>
    <row r="523" spans="1:24" x14ac:dyDescent="0.35">
      <c r="A523">
        <v>522</v>
      </c>
      <c r="B523" s="1">
        <v>44927</v>
      </c>
      <c r="C523" s="2" t="s">
        <v>20</v>
      </c>
      <c r="D523" s="2" t="s">
        <v>550</v>
      </c>
      <c r="E523" s="2" t="s">
        <v>14</v>
      </c>
      <c r="F523">
        <v>46</v>
      </c>
      <c r="G523" s="2" t="s">
        <v>15</v>
      </c>
      <c r="H523">
        <v>3</v>
      </c>
      <c r="I523">
        <v>500</v>
      </c>
      <c r="J523">
        <v>1500</v>
      </c>
      <c r="K523">
        <v>1500</v>
      </c>
      <c r="L523">
        <v>2023</v>
      </c>
      <c r="M523">
        <v>403</v>
      </c>
      <c r="N523">
        <v>45066</v>
      </c>
      <c r="O523" t="str">
        <v>May</v>
      </c>
      <c r="P523" t="str">
        <v>CUST403</v>
      </c>
      <c r="Q523" t="str">
        <v>Male</v>
      </c>
      <c r="R523">
        <v>32</v>
      </c>
      <c r="S523" t="str">
        <v>Clothing</v>
      </c>
      <c r="T523">
        <v>2</v>
      </c>
      <c r="U523">
        <v>300</v>
      </c>
      <c r="V523">
        <v>600</v>
      </c>
      <c r="W523">
        <v>600</v>
      </c>
      <c r="X523">
        <v>2023</v>
      </c>
    </row>
    <row r="524" spans="1:24" x14ac:dyDescent="0.35">
      <c r="A524">
        <v>523</v>
      </c>
      <c r="B524" s="1">
        <v>45193</v>
      </c>
      <c r="C524" s="2" t="s">
        <v>44</v>
      </c>
      <c r="D524" s="2" t="s">
        <v>551</v>
      </c>
      <c r="E524" s="2" t="s">
        <v>18</v>
      </c>
      <c r="F524">
        <v>62</v>
      </c>
      <c r="G524" s="2" t="s">
        <v>22</v>
      </c>
      <c r="H524">
        <v>1</v>
      </c>
      <c r="I524">
        <v>300</v>
      </c>
      <c r="J524">
        <v>300</v>
      </c>
      <c r="K524">
        <v>300</v>
      </c>
      <c r="L524">
        <v>2023</v>
      </c>
      <c r="M524">
        <v>404</v>
      </c>
      <c r="N524">
        <v>45071</v>
      </c>
      <c r="O524" t="str">
        <v>May</v>
      </c>
      <c r="P524" t="str">
        <v>CUST404</v>
      </c>
      <c r="Q524" t="str">
        <v>Male</v>
      </c>
      <c r="R524">
        <v>46</v>
      </c>
      <c r="S524" t="str">
        <v>Electronics</v>
      </c>
      <c r="T524">
        <v>2</v>
      </c>
      <c r="U524">
        <v>500</v>
      </c>
      <c r="V524">
        <v>1000</v>
      </c>
      <c r="W524">
        <v>1000</v>
      </c>
      <c r="X524">
        <v>2023</v>
      </c>
    </row>
    <row r="525" spans="1:24" x14ac:dyDescent="0.35">
      <c r="A525">
        <v>524</v>
      </c>
      <c r="B525" s="1">
        <v>45202</v>
      </c>
      <c r="C525" s="2" t="s">
        <v>33</v>
      </c>
      <c r="D525" s="2" t="s">
        <v>552</v>
      </c>
      <c r="E525" s="2" t="s">
        <v>14</v>
      </c>
      <c r="F525">
        <v>46</v>
      </c>
      <c r="G525" s="2" t="s">
        <v>15</v>
      </c>
      <c r="H525">
        <v>4</v>
      </c>
      <c r="I525">
        <v>300</v>
      </c>
      <c r="J525">
        <v>1200</v>
      </c>
      <c r="K525">
        <v>1200</v>
      </c>
      <c r="L525">
        <v>2023</v>
      </c>
      <c r="M525">
        <v>405</v>
      </c>
      <c r="N525">
        <v>45236</v>
      </c>
      <c r="O525" t="str">
        <v>November</v>
      </c>
      <c r="P525" t="str">
        <v>CUST405</v>
      </c>
      <c r="Q525" t="str">
        <v>Female</v>
      </c>
      <c r="R525">
        <v>25</v>
      </c>
      <c r="S525" t="str">
        <v>Clothing</v>
      </c>
      <c r="T525">
        <v>4</v>
      </c>
      <c r="U525">
        <v>300</v>
      </c>
      <c r="V525">
        <v>1200</v>
      </c>
      <c r="W525">
        <v>1200</v>
      </c>
      <c r="X525">
        <v>2023</v>
      </c>
    </row>
    <row r="526" spans="1:24" x14ac:dyDescent="0.35">
      <c r="A526">
        <v>525</v>
      </c>
      <c r="B526" s="1">
        <v>45278</v>
      </c>
      <c r="C526" s="2" t="s">
        <v>31</v>
      </c>
      <c r="D526" s="2" t="s">
        <v>553</v>
      </c>
      <c r="E526" s="2" t="s">
        <v>18</v>
      </c>
      <c r="F526">
        <v>47</v>
      </c>
      <c r="G526" s="2" t="s">
        <v>15</v>
      </c>
      <c r="H526">
        <v>2</v>
      </c>
      <c r="I526">
        <v>25</v>
      </c>
      <c r="J526">
        <v>50</v>
      </c>
      <c r="K526">
        <v>50</v>
      </c>
      <c r="L526">
        <v>2023</v>
      </c>
      <c r="M526">
        <v>406</v>
      </c>
      <c r="N526">
        <v>45034</v>
      </c>
      <c r="O526" t="str">
        <v>April</v>
      </c>
      <c r="P526" t="str">
        <v>CUST406</v>
      </c>
      <c r="Q526" t="str">
        <v>Female</v>
      </c>
      <c r="R526">
        <v>22</v>
      </c>
      <c r="S526" t="str">
        <v>Beauty</v>
      </c>
      <c r="T526">
        <v>4</v>
      </c>
      <c r="U526">
        <v>25</v>
      </c>
      <c r="V526">
        <v>100</v>
      </c>
      <c r="W526">
        <v>100</v>
      </c>
      <c r="X526">
        <v>2023</v>
      </c>
    </row>
    <row r="527" spans="1:24" x14ac:dyDescent="0.35">
      <c r="A527">
        <v>526</v>
      </c>
      <c r="B527" s="1">
        <v>45270</v>
      </c>
      <c r="C527" s="2" t="s">
        <v>31</v>
      </c>
      <c r="D527" s="2" t="s">
        <v>554</v>
      </c>
      <c r="E527" s="2" t="s">
        <v>14</v>
      </c>
      <c r="F527">
        <v>33</v>
      </c>
      <c r="G527" s="2" t="s">
        <v>19</v>
      </c>
      <c r="H527">
        <v>2</v>
      </c>
      <c r="I527">
        <v>50</v>
      </c>
      <c r="J527">
        <v>100</v>
      </c>
      <c r="K527">
        <v>100</v>
      </c>
      <c r="L527">
        <v>2023</v>
      </c>
      <c r="M527">
        <v>407</v>
      </c>
      <c r="N527">
        <v>45102</v>
      </c>
      <c r="O527" t="str">
        <v>June</v>
      </c>
      <c r="P527" t="str">
        <v>CUST407</v>
      </c>
      <c r="Q527" t="str">
        <v>Female</v>
      </c>
      <c r="R527">
        <v>46</v>
      </c>
      <c r="S527" t="str">
        <v>Electronics</v>
      </c>
      <c r="T527">
        <v>3</v>
      </c>
      <c r="U527">
        <v>300</v>
      </c>
      <c r="V527">
        <v>900</v>
      </c>
      <c r="W527">
        <v>900</v>
      </c>
      <c r="X527">
        <v>2023</v>
      </c>
    </row>
    <row r="528" spans="1:24" x14ac:dyDescent="0.35">
      <c r="A528">
        <v>527</v>
      </c>
      <c r="B528" s="1">
        <v>45027</v>
      </c>
      <c r="C528" s="2" t="s">
        <v>26</v>
      </c>
      <c r="D528" s="2" t="s">
        <v>555</v>
      </c>
      <c r="E528" s="2" t="s">
        <v>14</v>
      </c>
      <c r="F528">
        <v>57</v>
      </c>
      <c r="G528" s="2" t="s">
        <v>19</v>
      </c>
      <c r="H528">
        <v>2</v>
      </c>
      <c r="I528">
        <v>25</v>
      </c>
      <c r="J528">
        <v>50</v>
      </c>
      <c r="K528">
        <v>50</v>
      </c>
      <c r="L528">
        <v>2023</v>
      </c>
      <c r="M528">
        <v>408</v>
      </c>
      <c r="N528">
        <v>45031</v>
      </c>
      <c r="O528" t="str">
        <v>April</v>
      </c>
      <c r="P528" t="str">
        <v>CUST408</v>
      </c>
      <c r="Q528" t="str">
        <v>Female</v>
      </c>
      <c r="R528">
        <v>64</v>
      </c>
      <c r="S528" t="str">
        <v>Beauty</v>
      </c>
      <c r="T528">
        <v>1</v>
      </c>
      <c r="U528">
        <v>500</v>
      </c>
      <c r="V528">
        <v>500</v>
      </c>
      <c r="W528">
        <v>500</v>
      </c>
      <c r="X528">
        <v>2023</v>
      </c>
    </row>
    <row r="529" spans="1:24" x14ac:dyDescent="0.35">
      <c r="A529">
        <v>528</v>
      </c>
      <c r="B529" s="1">
        <v>45113</v>
      </c>
      <c r="C529" s="2" t="s">
        <v>70</v>
      </c>
      <c r="D529" s="2" t="s">
        <v>556</v>
      </c>
      <c r="E529" s="2" t="s">
        <v>18</v>
      </c>
      <c r="F529">
        <v>36</v>
      </c>
      <c r="G529" s="2" t="s">
        <v>19</v>
      </c>
      <c r="H529">
        <v>2</v>
      </c>
      <c r="I529">
        <v>30</v>
      </c>
      <c r="J529">
        <v>60</v>
      </c>
      <c r="K529">
        <v>60</v>
      </c>
      <c r="L529">
        <v>2023</v>
      </c>
      <c r="M529">
        <v>409</v>
      </c>
      <c r="N529">
        <v>45278</v>
      </c>
      <c r="O529" t="str">
        <v>December</v>
      </c>
      <c r="P529" t="str">
        <v>CUST409</v>
      </c>
      <c r="Q529" t="str">
        <v>Female</v>
      </c>
      <c r="R529">
        <v>21</v>
      </c>
      <c r="S529" t="str">
        <v>Electronics</v>
      </c>
      <c r="T529">
        <v>3</v>
      </c>
      <c r="U529">
        <v>300</v>
      </c>
      <c r="V529">
        <v>900</v>
      </c>
      <c r="W529">
        <v>900</v>
      </c>
      <c r="X529">
        <v>2023</v>
      </c>
    </row>
    <row r="530" spans="1:24" x14ac:dyDescent="0.35">
      <c r="A530">
        <v>529</v>
      </c>
      <c r="B530" s="1">
        <v>45147</v>
      </c>
      <c r="C530" s="2" t="s">
        <v>37</v>
      </c>
      <c r="D530" s="2" t="s">
        <v>557</v>
      </c>
      <c r="E530" s="2" t="s">
        <v>18</v>
      </c>
      <c r="F530">
        <v>35</v>
      </c>
      <c r="G530" s="2" t="s">
        <v>19</v>
      </c>
      <c r="H530">
        <v>3</v>
      </c>
      <c r="I530">
        <v>50</v>
      </c>
      <c r="J530">
        <v>150</v>
      </c>
      <c r="K530">
        <v>150</v>
      </c>
      <c r="L530">
        <v>2023</v>
      </c>
      <c r="M530">
        <v>410</v>
      </c>
      <c r="N530">
        <v>45251</v>
      </c>
      <c r="O530" t="str">
        <v>November</v>
      </c>
      <c r="P530" t="str">
        <v>CUST410</v>
      </c>
      <c r="Q530" t="str">
        <v>Female</v>
      </c>
      <c r="R530">
        <v>29</v>
      </c>
      <c r="S530" t="str">
        <v>Clothing</v>
      </c>
      <c r="T530">
        <v>2</v>
      </c>
      <c r="U530">
        <v>50</v>
      </c>
      <c r="V530">
        <v>100</v>
      </c>
      <c r="W530">
        <v>100</v>
      </c>
      <c r="X530">
        <v>2023</v>
      </c>
    </row>
    <row r="531" spans="1:24" x14ac:dyDescent="0.35">
      <c r="A531">
        <v>530</v>
      </c>
      <c r="B531" s="1">
        <v>44962</v>
      </c>
      <c r="C531" s="2" t="s">
        <v>16</v>
      </c>
      <c r="D531" s="2" t="s">
        <v>558</v>
      </c>
      <c r="E531" s="2" t="s">
        <v>18</v>
      </c>
      <c r="F531">
        <v>18</v>
      </c>
      <c r="G531" s="2" t="s">
        <v>22</v>
      </c>
      <c r="H531">
        <v>4</v>
      </c>
      <c r="I531">
        <v>30</v>
      </c>
      <c r="J531">
        <v>120</v>
      </c>
      <c r="K531">
        <v>120</v>
      </c>
      <c r="L531">
        <v>2023</v>
      </c>
      <c r="M531">
        <v>411</v>
      </c>
      <c r="N531">
        <v>45062</v>
      </c>
      <c r="O531" t="str">
        <v>May</v>
      </c>
      <c r="P531" t="str">
        <v>CUST411</v>
      </c>
      <c r="Q531" t="str">
        <v>Male</v>
      </c>
      <c r="R531">
        <v>62</v>
      </c>
      <c r="S531" t="str">
        <v>Electronics</v>
      </c>
      <c r="T531">
        <v>4</v>
      </c>
      <c r="U531">
        <v>50</v>
      </c>
      <c r="V531">
        <v>200</v>
      </c>
      <c r="W531">
        <v>200</v>
      </c>
      <c r="X531">
        <v>2023</v>
      </c>
    </row>
    <row r="532" spans="1:24" x14ac:dyDescent="0.35">
      <c r="A532">
        <v>531</v>
      </c>
      <c r="B532" s="1">
        <v>45267</v>
      </c>
      <c r="C532" s="2" t="s">
        <v>31</v>
      </c>
      <c r="D532" s="2" t="s">
        <v>559</v>
      </c>
      <c r="E532" s="2" t="s">
        <v>14</v>
      </c>
      <c r="F532">
        <v>31</v>
      </c>
      <c r="G532" s="2" t="s">
        <v>22</v>
      </c>
      <c r="H532">
        <v>1</v>
      </c>
      <c r="I532">
        <v>500</v>
      </c>
      <c r="J532">
        <v>500</v>
      </c>
      <c r="K532">
        <v>500</v>
      </c>
      <c r="L532">
        <v>2023</v>
      </c>
      <c r="M532">
        <v>412</v>
      </c>
      <c r="N532">
        <v>45185</v>
      </c>
      <c r="O532" t="str">
        <v>September</v>
      </c>
      <c r="P532" t="str">
        <v>CUST412</v>
      </c>
      <c r="Q532" t="str">
        <v>Female</v>
      </c>
      <c r="R532">
        <v>19</v>
      </c>
      <c r="S532" t="str">
        <v>Electronics</v>
      </c>
      <c r="T532">
        <v>4</v>
      </c>
      <c r="U532">
        <v>500</v>
      </c>
      <c r="V532">
        <v>2000</v>
      </c>
      <c r="W532">
        <v>2000</v>
      </c>
      <c r="X532">
        <v>2023</v>
      </c>
    </row>
    <row r="533" spans="1:24" x14ac:dyDescent="0.35">
      <c r="A533">
        <v>532</v>
      </c>
      <c r="B533" s="1">
        <v>45096</v>
      </c>
      <c r="C533" s="2" t="s">
        <v>62</v>
      </c>
      <c r="D533" s="2" t="s">
        <v>560</v>
      </c>
      <c r="E533" s="2" t="s">
        <v>18</v>
      </c>
      <c r="F533">
        <v>64</v>
      </c>
      <c r="G533" s="2" t="s">
        <v>19</v>
      </c>
      <c r="H533">
        <v>4</v>
      </c>
      <c r="I533">
        <v>30</v>
      </c>
      <c r="J533">
        <v>120</v>
      </c>
      <c r="K533">
        <v>120</v>
      </c>
      <c r="L533">
        <v>2023</v>
      </c>
      <c r="M533">
        <v>413</v>
      </c>
      <c r="N533">
        <v>45177</v>
      </c>
      <c r="O533" t="str">
        <v>September</v>
      </c>
      <c r="P533" t="str">
        <v>CUST413</v>
      </c>
      <c r="Q533" t="str">
        <v>Female</v>
      </c>
      <c r="R533">
        <v>44</v>
      </c>
      <c r="S533" t="str">
        <v>Beauty</v>
      </c>
      <c r="T533">
        <v>3</v>
      </c>
      <c r="U533">
        <v>25</v>
      </c>
      <c r="V533">
        <v>75</v>
      </c>
      <c r="W533">
        <v>75</v>
      </c>
      <c r="X533">
        <v>2023</v>
      </c>
    </row>
    <row r="534" spans="1:24" x14ac:dyDescent="0.35">
      <c r="A534">
        <v>533</v>
      </c>
      <c r="B534" s="1">
        <v>45246</v>
      </c>
      <c r="C534" s="2" t="s">
        <v>12</v>
      </c>
      <c r="D534" s="2" t="s">
        <v>561</v>
      </c>
      <c r="E534" s="2" t="s">
        <v>14</v>
      </c>
      <c r="F534">
        <v>19</v>
      </c>
      <c r="G534" s="2" t="s">
        <v>22</v>
      </c>
      <c r="H534">
        <v>3</v>
      </c>
      <c r="I534">
        <v>500</v>
      </c>
      <c r="J534">
        <v>1500</v>
      </c>
      <c r="K534">
        <v>1500</v>
      </c>
      <c r="L534">
        <v>2023</v>
      </c>
      <c r="M534">
        <v>414</v>
      </c>
      <c r="N534">
        <v>45055</v>
      </c>
      <c r="O534" t="str">
        <v>May</v>
      </c>
      <c r="P534" t="str">
        <v>CUST414</v>
      </c>
      <c r="Q534" t="str">
        <v>Male</v>
      </c>
      <c r="R534">
        <v>48</v>
      </c>
      <c r="S534" t="str">
        <v>Beauty</v>
      </c>
      <c r="T534">
        <v>4</v>
      </c>
      <c r="U534">
        <v>25</v>
      </c>
      <c r="V534">
        <v>100</v>
      </c>
      <c r="W534">
        <v>100</v>
      </c>
      <c r="X534">
        <v>2023</v>
      </c>
    </row>
    <row r="535" spans="1:24" x14ac:dyDescent="0.35">
      <c r="A535">
        <v>534</v>
      </c>
      <c r="B535" s="1">
        <v>45087</v>
      </c>
      <c r="C535" s="2" t="s">
        <v>62</v>
      </c>
      <c r="D535" s="2" t="s">
        <v>562</v>
      </c>
      <c r="E535" s="2" t="s">
        <v>14</v>
      </c>
      <c r="F535">
        <v>45</v>
      </c>
      <c r="G535" s="2" t="s">
        <v>19</v>
      </c>
      <c r="H535">
        <v>2</v>
      </c>
      <c r="I535">
        <v>500</v>
      </c>
      <c r="J535">
        <v>1000</v>
      </c>
      <c r="K535">
        <v>1000</v>
      </c>
      <c r="L535">
        <v>2023</v>
      </c>
      <c r="M535">
        <v>415</v>
      </c>
      <c r="N535">
        <v>44953</v>
      </c>
      <c r="O535" t="str">
        <v>January</v>
      </c>
      <c r="P535" t="str">
        <v>CUST415</v>
      </c>
      <c r="Q535" t="str">
        <v>Male</v>
      </c>
      <c r="R535">
        <v>53</v>
      </c>
      <c r="S535" t="str">
        <v>Clothing</v>
      </c>
      <c r="T535">
        <v>2</v>
      </c>
      <c r="U535">
        <v>30</v>
      </c>
      <c r="V535">
        <v>60</v>
      </c>
      <c r="W535">
        <v>60</v>
      </c>
      <c r="X535">
        <v>2023</v>
      </c>
    </row>
    <row r="536" spans="1:24" x14ac:dyDescent="0.35">
      <c r="A536">
        <v>535</v>
      </c>
      <c r="B536" s="1">
        <v>45266</v>
      </c>
      <c r="C536" s="2" t="s">
        <v>31</v>
      </c>
      <c r="D536" s="2" t="s">
        <v>563</v>
      </c>
      <c r="E536" s="2" t="s">
        <v>14</v>
      </c>
      <c r="F536">
        <v>47</v>
      </c>
      <c r="G536" s="2" t="s">
        <v>15</v>
      </c>
      <c r="H536">
        <v>3</v>
      </c>
      <c r="I536">
        <v>30</v>
      </c>
      <c r="J536">
        <v>90</v>
      </c>
      <c r="K536">
        <v>90</v>
      </c>
      <c r="L536">
        <v>2023</v>
      </c>
      <c r="M536">
        <v>416</v>
      </c>
      <c r="N536">
        <v>44974</v>
      </c>
      <c r="O536" t="str">
        <v>February</v>
      </c>
      <c r="P536" t="str">
        <v>CUST416</v>
      </c>
      <c r="Q536" t="str">
        <v>Male</v>
      </c>
      <c r="R536">
        <v>53</v>
      </c>
      <c r="S536" t="str">
        <v>Electronics</v>
      </c>
      <c r="T536">
        <v>4</v>
      </c>
      <c r="U536">
        <v>500</v>
      </c>
      <c r="V536">
        <v>2000</v>
      </c>
      <c r="W536">
        <v>2000</v>
      </c>
      <c r="X536">
        <v>2023</v>
      </c>
    </row>
    <row r="537" spans="1:24" x14ac:dyDescent="0.35">
      <c r="A537">
        <v>536</v>
      </c>
      <c r="B537" s="1">
        <v>44990</v>
      </c>
      <c r="C537" s="2" t="s">
        <v>28</v>
      </c>
      <c r="D537" s="2" t="s">
        <v>564</v>
      </c>
      <c r="E537" s="2" t="s">
        <v>18</v>
      </c>
      <c r="F537">
        <v>55</v>
      </c>
      <c r="G537" s="2" t="s">
        <v>15</v>
      </c>
      <c r="H537">
        <v>4</v>
      </c>
      <c r="I537">
        <v>30</v>
      </c>
      <c r="J537">
        <v>120</v>
      </c>
      <c r="K537">
        <v>120</v>
      </c>
      <c r="L537">
        <v>2023</v>
      </c>
      <c r="M537">
        <v>417</v>
      </c>
      <c r="N537">
        <v>45251</v>
      </c>
      <c r="O537" t="str">
        <v>November</v>
      </c>
      <c r="P537" t="str">
        <v>CUST417</v>
      </c>
      <c r="Q537" t="str">
        <v>Male</v>
      </c>
      <c r="R537">
        <v>43</v>
      </c>
      <c r="S537" t="str">
        <v>Electronics</v>
      </c>
      <c r="T537">
        <v>3</v>
      </c>
      <c r="U537">
        <v>300</v>
      </c>
      <c r="V537">
        <v>900</v>
      </c>
      <c r="W537">
        <v>900</v>
      </c>
      <c r="X537">
        <v>2023</v>
      </c>
    </row>
    <row r="538" spans="1:24" x14ac:dyDescent="0.35">
      <c r="A538">
        <v>537</v>
      </c>
      <c r="B538" s="1">
        <v>45080</v>
      </c>
      <c r="C538" s="2" t="s">
        <v>62</v>
      </c>
      <c r="D538" s="2" t="s">
        <v>565</v>
      </c>
      <c r="E538" s="2" t="s">
        <v>18</v>
      </c>
      <c r="F538">
        <v>21</v>
      </c>
      <c r="G538" s="2" t="s">
        <v>15</v>
      </c>
      <c r="H538">
        <v>1</v>
      </c>
      <c r="I538">
        <v>500</v>
      </c>
      <c r="J538">
        <v>500</v>
      </c>
      <c r="K538">
        <v>500</v>
      </c>
      <c r="L538">
        <v>2023</v>
      </c>
      <c r="M538">
        <v>418</v>
      </c>
      <c r="N538">
        <v>45143</v>
      </c>
      <c r="O538" t="str">
        <v>August</v>
      </c>
      <c r="P538" t="str">
        <v>CUST418</v>
      </c>
      <c r="Q538" t="str">
        <v>Female</v>
      </c>
      <c r="R538">
        <v>60</v>
      </c>
      <c r="S538" t="str">
        <v>Electronics</v>
      </c>
      <c r="T538">
        <v>2</v>
      </c>
      <c r="U538">
        <v>500</v>
      </c>
      <c r="V538">
        <v>1000</v>
      </c>
      <c r="W538">
        <v>1000</v>
      </c>
      <c r="X538">
        <v>2023</v>
      </c>
    </row>
    <row r="539" spans="1:24" x14ac:dyDescent="0.35">
      <c r="A539">
        <v>538</v>
      </c>
      <c r="B539" s="1">
        <v>45186</v>
      </c>
      <c r="C539" s="2" t="s">
        <v>44</v>
      </c>
      <c r="D539" s="2" t="s">
        <v>566</v>
      </c>
      <c r="E539" s="2" t="s">
        <v>14</v>
      </c>
      <c r="F539">
        <v>18</v>
      </c>
      <c r="G539" s="2" t="s">
        <v>19</v>
      </c>
      <c r="H539">
        <v>3</v>
      </c>
      <c r="I539">
        <v>50</v>
      </c>
      <c r="J539">
        <v>150</v>
      </c>
      <c r="K539">
        <v>150</v>
      </c>
      <c r="L539">
        <v>2023</v>
      </c>
      <c r="M539">
        <v>419</v>
      </c>
      <c r="N539">
        <v>45068</v>
      </c>
      <c r="O539" t="str">
        <v>May</v>
      </c>
      <c r="P539" t="str">
        <v>CUST419</v>
      </c>
      <c r="Q539" t="str">
        <v>Female</v>
      </c>
      <c r="R539">
        <v>44</v>
      </c>
      <c r="S539" t="str">
        <v>Clothing</v>
      </c>
      <c r="T539">
        <v>3</v>
      </c>
      <c r="U539">
        <v>30</v>
      </c>
      <c r="V539">
        <v>90</v>
      </c>
      <c r="W539">
        <v>90</v>
      </c>
      <c r="X539">
        <v>2023</v>
      </c>
    </row>
    <row r="540" spans="1:24" x14ac:dyDescent="0.35">
      <c r="A540">
        <v>539</v>
      </c>
      <c r="B540" s="1">
        <v>45085</v>
      </c>
      <c r="C540" s="2" t="s">
        <v>62</v>
      </c>
      <c r="D540" s="2" t="s">
        <v>567</v>
      </c>
      <c r="E540" s="2" t="s">
        <v>14</v>
      </c>
      <c r="F540">
        <v>25</v>
      </c>
      <c r="G540" s="2" t="s">
        <v>15</v>
      </c>
      <c r="H540">
        <v>1</v>
      </c>
      <c r="I540">
        <v>500</v>
      </c>
      <c r="J540">
        <v>500</v>
      </c>
      <c r="K540">
        <v>500</v>
      </c>
      <c r="L540">
        <v>2023</v>
      </c>
      <c r="M540">
        <v>420</v>
      </c>
      <c r="N540">
        <v>44949</v>
      </c>
      <c r="O540" t="str">
        <v>January</v>
      </c>
      <c r="P540" t="str">
        <v>CUST420</v>
      </c>
      <c r="Q540" t="str">
        <v>Female</v>
      </c>
      <c r="R540">
        <v>22</v>
      </c>
      <c r="S540" t="str">
        <v>Clothing</v>
      </c>
      <c r="T540">
        <v>4</v>
      </c>
      <c r="U540">
        <v>500</v>
      </c>
      <c r="V540">
        <v>2000</v>
      </c>
      <c r="W540">
        <v>2000</v>
      </c>
      <c r="X540">
        <v>2023</v>
      </c>
    </row>
    <row r="541" spans="1:24" x14ac:dyDescent="0.35">
      <c r="A541">
        <v>540</v>
      </c>
      <c r="B541" s="1">
        <v>45268</v>
      </c>
      <c r="C541" s="2" t="s">
        <v>31</v>
      </c>
      <c r="D541" s="2" t="s">
        <v>568</v>
      </c>
      <c r="E541" s="2" t="s">
        <v>18</v>
      </c>
      <c r="F541">
        <v>46</v>
      </c>
      <c r="G541" s="2" t="s">
        <v>22</v>
      </c>
      <c r="H541">
        <v>3</v>
      </c>
      <c r="I541">
        <v>300</v>
      </c>
      <c r="J541">
        <v>900</v>
      </c>
      <c r="K541">
        <v>900</v>
      </c>
      <c r="L541">
        <v>2023</v>
      </c>
      <c r="M541">
        <v>421</v>
      </c>
      <c r="N541">
        <v>44928</v>
      </c>
      <c r="O541" t="str">
        <v>January</v>
      </c>
      <c r="P541" t="str">
        <v>CUST421</v>
      </c>
      <c r="Q541" t="str">
        <v>Female</v>
      </c>
      <c r="R541">
        <v>37</v>
      </c>
      <c r="S541" t="str">
        <v>Clothing</v>
      </c>
      <c r="T541">
        <v>3</v>
      </c>
      <c r="U541">
        <v>500</v>
      </c>
      <c r="V541">
        <v>1500</v>
      </c>
      <c r="W541">
        <v>1500</v>
      </c>
      <c r="X541">
        <v>2023</v>
      </c>
    </row>
    <row r="542" spans="1:24" x14ac:dyDescent="0.35">
      <c r="A542">
        <v>541</v>
      </c>
      <c r="B542" s="1">
        <v>45136</v>
      </c>
      <c r="C542" s="2" t="s">
        <v>70</v>
      </c>
      <c r="D542" s="2" t="s">
        <v>569</v>
      </c>
      <c r="E542" s="2" t="s">
        <v>14</v>
      </c>
      <c r="F542">
        <v>56</v>
      </c>
      <c r="G542" s="2" t="s">
        <v>15</v>
      </c>
      <c r="H542">
        <v>1</v>
      </c>
      <c r="I542">
        <v>500</v>
      </c>
      <c r="J542">
        <v>500</v>
      </c>
      <c r="K542">
        <v>500</v>
      </c>
      <c r="L542">
        <v>2023</v>
      </c>
      <c r="M542">
        <v>422</v>
      </c>
      <c r="N542">
        <v>45097</v>
      </c>
      <c r="O542" t="str">
        <v>June</v>
      </c>
      <c r="P542" t="str">
        <v>CUST422</v>
      </c>
      <c r="Q542" t="str">
        <v>Female</v>
      </c>
      <c r="R542">
        <v>28</v>
      </c>
      <c r="S542" t="str">
        <v>Clothing</v>
      </c>
      <c r="T542">
        <v>3</v>
      </c>
      <c r="U542">
        <v>30</v>
      </c>
      <c r="V542">
        <v>90</v>
      </c>
      <c r="W542">
        <v>90</v>
      </c>
      <c r="X542">
        <v>2023</v>
      </c>
    </row>
    <row r="543" spans="1:24" x14ac:dyDescent="0.35">
      <c r="A543">
        <v>542</v>
      </c>
      <c r="B543" s="1">
        <v>45094</v>
      </c>
      <c r="C543" s="2" t="s">
        <v>62</v>
      </c>
      <c r="D543" s="2" t="s">
        <v>570</v>
      </c>
      <c r="E543" s="2" t="s">
        <v>18</v>
      </c>
      <c r="F543">
        <v>20</v>
      </c>
      <c r="G543" s="2" t="s">
        <v>15</v>
      </c>
      <c r="H543">
        <v>1</v>
      </c>
      <c r="I543">
        <v>50</v>
      </c>
      <c r="J543">
        <v>50</v>
      </c>
      <c r="K543">
        <v>50</v>
      </c>
      <c r="L543">
        <v>2023</v>
      </c>
      <c r="M543">
        <v>423</v>
      </c>
      <c r="N543">
        <v>44993</v>
      </c>
      <c r="O543" t="str">
        <v>March</v>
      </c>
      <c r="P543" t="str">
        <v>CUST423</v>
      </c>
      <c r="Q543" t="str">
        <v>Female</v>
      </c>
      <c r="R543">
        <v>27</v>
      </c>
      <c r="S543" t="str">
        <v>Clothing</v>
      </c>
      <c r="T543">
        <v>1</v>
      </c>
      <c r="U543">
        <v>25</v>
      </c>
      <c r="V543">
        <v>25</v>
      </c>
      <c r="W543">
        <v>25</v>
      </c>
      <c r="X543">
        <v>2023</v>
      </c>
    </row>
    <row r="544" spans="1:24" x14ac:dyDescent="0.35">
      <c r="A544">
        <v>543</v>
      </c>
      <c r="B544" s="1">
        <v>45133</v>
      </c>
      <c r="C544" s="2" t="s">
        <v>70</v>
      </c>
      <c r="D544" s="2" t="s">
        <v>571</v>
      </c>
      <c r="E544" s="2" t="s">
        <v>14</v>
      </c>
      <c r="F544">
        <v>49</v>
      </c>
      <c r="G544" s="2" t="s">
        <v>15</v>
      </c>
      <c r="H544">
        <v>2</v>
      </c>
      <c r="I544">
        <v>300</v>
      </c>
      <c r="J544">
        <v>600</v>
      </c>
      <c r="K544">
        <v>600</v>
      </c>
      <c r="L544">
        <v>2023</v>
      </c>
      <c r="M544">
        <v>424</v>
      </c>
      <c r="N544">
        <v>45253</v>
      </c>
      <c r="O544" t="str">
        <v>November</v>
      </c>
      <c r="P544" t="str">
        <v>CUST424</v>
      </c>
      <c r="Q544" t="str">
        <v>Male</v>
      </c>
      <c r="R544">
        <v>57</v>
      </c>
      <c r="S544" t="str">
        <v>Beauty</v>
      </c>
      <c r="T544">
        <v>4</v>
      </c>
      <c r="U544">
        <v>300</v>
      </c>
      <c r="V544">
        <v>1200</v>
      </c>
      <c r="W544">
        <v>1200</v>
      </c>
      <c r="X544">
        <v>2023</v>
      </c>
    </row>
    <row r="545" spans="1:24" x14ac:dyDescent="0.35">
      <c r="A545">
        <v>544</v>
      </c>
      <c r="B545" s="1">
        <v>45283</v>
      </c>
      <c r="C545" s="2" t="s">
        <v>31</v>
      </c>
      <c r="D545" s="2" t="s">
        <v>572</v>
      </c>
      <c r="E545" s="2" t="s">
        <v>18</v>
      </c>
      <c r="F545">
        <v>27</v>
      </c>
      <c r="G545" s="2" t="s">
        <v>22</v>
      </c>
      <c r="H545">
        <v>1</v>
      </c>
      <c r="I545">
        <v>25</v>
      </c>
      <c r="J545">
        <v>25</v>
      </c>
      <c r="K545">
        <v>25</v>
      </c>
      <c r="L545">
        <v>2023</v>
      </c>
      <c r="M545">
        <v>425</v>
      </c>
      <c r="N545">
        <v>45061</v>
      </c>
      <c r="O545" t="str">
        <v>May</v>
      </c>
      <c r="P545" t="str">
        <v>CUST425</v>
      </c>
      <c r="Q545" t="str">
        <v>Female</v>
      </c>
      <c r="R545">
        <v>55</v>
      </c>
      <c r="S545" t="str">
        <v>Electronics</v>
      </c>
      <c r="T545">
        <v>4</v>
      </c>
      <c r="U545">
        <v>30</v>
      </c>
      <c r="V545">
        <v>120</v>
      </c>
      <c r="W545">
        <v>120</v>
      </c>
      <c r="X545">
        <v>2023</v>
      </c>
    </row>
    <row r="546" spans="1:24" x14ac:dyDescent="0.35">
      <c r="A546">
        <v>545</v>
      </c>
      <c r="B546" s="1">
        <v>45078</v>
      </c>
      <c r="C546" s="2" t="s">
        <v>62</v>
      </c>
      <c r="D546" s="2" t="s">
        <v>573</v>
      </c>
      <c r="E546" s="2" t="s">
        <v>14</v>
      </c>
      <c r="F546">
        <v>27</v>
      </c>
      <c r="G546" s="2" t="s">
        <v>19</v>
      </c>
      <c r="H546">
        <v>2</v>
      </c>
      <c r="I546">
        <v>25</v>
      </c>
      <c r="J546">
        <v>50</v>
      </c>
      <c r="K546">
        <v>50</v>
      </c>
      <c r="L546">
        <v>2023</v>
      </c>
      <c r="M546">
        <v>426</v>
      </c>
      <c r="N546">
        <v>45009</v>
      </c>
      <c r="O546" t="str">
        <v>March</v>
      </c>
      <c r="P546" t="str">
        <v>CUST426</v>
      </c>
      <c r="Q546" t="str">
        <v>Male</v>
      </c>
      <c r="R546">
        <v>23</v>
      </c>
      <c r="S546" t="str">
        <v>Electronics</v>
      </c>
      <c r="T546">
        <v>3</v>
      </c>
      <c r="U546">
        <v>50</v>
      </c>
      <c r="V546">
        <v>150</v>
      </c>
      <c r="W546">
        <v>150</v>
      </c>
      <c r="X546">
        <v>2023</v>
      </c>
    </row>
    <row r="547" spans="1:24" x14ac:dyDescent="0.35">
      <c r="A547">
        <v>546</v>
      </c>
      <c r="B547" s="1">
        <v>45210</v>
      </c>
      <c r="C547" s="2" t="s">
        <v>33</v>
      </c>
      <c r="D547" s="2" t="s">
        <v>574</v>
      </c>
      <c r="E547" s="2" t="s">
        <v>18</v>
      </c>
      <c r="F547">
        <v>36</v>
      </c>
      <c r="G547" s="2" t="s">
        <v>22</v>
      </c>
      <c r="H547">
        <v>4</v>
      </c>
      <c r="I547">
        <v>50</v>
      </c>
      <c r="J547">
        <v>200</v>
      </c>
      <c r="K547">
        <v>200</v>
      </c>
      <c r="L547">
        <v>2023</v>
      </c>
      <c r="M547">
        <v>427</v>
      </c>
      <c r="N547">
        <v>45153</v>
      </c>
      <c r="O547" t="str">
        <v>August</v>
      </c>
      <c r="P547" t="str">
        <v>CUST427</v>
      </c>
      <c r="Q547" t="str">
        <v>Male</v>
      </c>
      <c r="R547">
        <v>25</v>
      </c>
      <c r="S547" t="str">
        <v>Electronics</v>
      </c>
      <c r="T547">
        <v>1</v>
      </c>
      <c r="U547">
        <v>25</v>
      </c>
      <c r="V547">
        <v>25</v>
      </c>
      <c r="W547">
        <v>25</v>
      </c>
      <c r="X547">
        <v>2023</v>
      </c>
    </row>
    <row r="548" spans="1:24" x14ac:dyDescent="0.35">
      <c r="A548">
        <v>547</v>
      </c>
      <c r="B548" s="1">
        <v>44992</v>
      </c>
      <c r="C548" s="2" t="s">
        <v>28</v>
      </c>
      <c r="D548" s="2" t="s">
        <v>575</v>
      </c>
      <c r="E548" s="2" t="s">
        <v>14</v>
      </c>
      <c r="F548">
        <v>63</v>
      </c>
      <c r="G548" s="2" t="s">
        <v>19</v>
      </c>
      <c r="H548">
        <v>4</v>
      </c>
      <c r="I548">
        <v>500</v>
      </c>
      <c r="J548">
        <v>2000</v>
      </c>
      <c r="K548">
        <v>2000</v>
      </c>
      <c r="L548">
        <v>2023</v>
      </c>
      <c r="M548">
        <v>428</v>
      </c>
      <c r="N548">
        <v>45209</v>
      </c>
      <c r="O548" t="str">
        <v>October</v>
      </c>
      <c r="P548" t="str">
        <v>CUST428</v>
      </c>
      <c r="Q548" t="str">
        <v>Female</v>
      </c>
      <c r="R548">
        <v>40</v>
      </c>
      <c r="S548" t="str">
        <v>Electronics</v>
      </c>
      <c r="T548">
        <v>4</v>
      </c>
      <c r="U548">
        <v>50</v>
      </c>
      <c r="V548">
        <v>200</v>
      </c>
      <c r="W548">
        <v>200</v>
      </c>
      <c r="X548">
        <v>2023</v>
      </c>
    </row>
    <row r="549" spans="1:24" x14ac:dyDescent="0.35">
      <c r="A549">
        <v>548</v>
      </c>
      <c r="B549" s="1">
        <v>45025</v>
      </c>
      <c r="C549" s="2" t="s">
        <v>26</v>
      </c>
      <c r="D549" s="2" t="s">
        <v>576</v>
      </c>
      <c r="E549" s="2" t="s">
        <v>18</v>
      </c>
      <c r="F549">
        <v>51</v>
      </c>
      <c r="G549" s="2" t="s">
        <v>19</v>
      </c>
      <c r="H549">
        <v>2</v>
      </c>
      <c r="I549">
        <v>30</v>
      </c>
      <c r="J549">
        <v>60</v>
      </c>
      <c r="K549">
        <v>60</v>
      </c>
      <c r="L549">
        <v>2023</v>
      </c>
      <c r="M549">
        <v>429</v>
      </c>
      <c r="N549">
        <v>45288</v>
      </c>
      <c r="O549" t="str">
        <v>December</v>
      </c>
      <c r="P549" t="str">
        <v>CUST429</v>
      </c>
      <c r="Q549" t="str">
        <v>Male</v>
      </c>
      <c r="R549">
        <v>64</v>
      </c>
      <c r="S549" t="str">
        <v>Electronics</v>
      </c>
      <c r="T549">
        <v>2</v>
      </c>
      <c r="U549">
        <v>25</v>
      </c>
      <c r="V549">
        <v>50</v>
      </c>
      <c r="W549">
        <v>50</v>
      </c>
      <c r="X549">
        <v>2023</v>
      </c>
    </row>
    <row r="550" spans="1:24" x14ac:dyDescent="0.35">
      <c r="A550">
        <v>549</v>
      </c>
      <c r="B550" s="1">
        <v>45142</v>
      </c>
      <c r="C550" s="2" t="s">
        <v>37</v>
      </c>
      <c r="D550" s="2" t="s">
        <v>577</v>
      </c>
      <c r="E550" s="2" t="s">
        <v>18</v>
      </c>
      <c r="F550">
        <v>50</v>
      </c>
      <c r="G550" s="2" t="s">
        <v>15</v>
      </c>
      <c r="H550">
        <v>2</v>
      </c>
      <c r="I550">
        <v>50</v>
      </c>
      <c r="J550">
        <v>100</v>
      </c>
      <c r="K550">
        <v>100</v>
      </c>
      <c r="L550">
        <v>2023</v>
      </c>
      <c r="M550">
        <v>430</v>
      </c>
      <c r="N550">
        <v>45145</v>
      </c>
      <c r="O550" t="str">
        <v>August</v>
      </c>
      <c r="P550" t="str">
        <v>CUST430</v>
      </c>
      <c r="Q550" t="str">
        <v>Female</v>
      </c>
      <c r="R550">
        <v>43</v>
      </c>
      <c r="S550" t="str">
        <v>Electronics</v>
      </c>
      <c r="T550">
        <v>3</v>
      </c>
      <c r="U550">
        <v>300</v>
      </c>
      <c r="V550">
        <v>900</v>
      </c>
      <c r="W550">
        <v>900</v>
      </c>
      <c r="X550">
        <v>2023</v>
      </c>
    </row>
    <row r="551" spans="1:24" x14ac:dyDescent="0.35">
      <c r="A551">
        <v>550</v>
      </c>
      <c r="B551" s="1">
        <v>45267</v>
      </c>
      <c r="C551" s="2" t="s">
        <v>31</v>
      </c>
      <c r="D551" s="2" t="s">
        <v>578</v>
      </c>
      <c r="E551" s="2" t="s">
        <v>14</v>
      </c>
      <c r="F551">
        <v>40</v>
      </c>
      <c r="G551" s="2" t="s">
        <v>19</v>
      </c>
      <c r="H551">
        <v>3</v>
      </c>
      <c r="I551">
        <v>300</v>
      </c>
      <c r="J551">
        <v>900</v>
      </c>
      <c r="K551">
        <v>900</v>
      </c>
      <c r="L551">
        <v>2023</v>
      </c>
      <c r="M551">
        <v>431</v>
      </c>
      <c r="N551">
        <v>45214</v>
      </c>
      <c r="O551" t="str">
        <v>October</v>
      </c>
      <c r="P551" t="str">
        <v>CUST431</v>
      </c>
      <c r="Q551" t="str">
        <v>Male</v>
      </c>
      <c r="R551">
        <v>63</v>
      </c>
      <c r="S551" t="str">
        <v>Electronics</v>
      </c>
      <c r="T551">
        <v>4</v>
      </c>
      <c r="U551">
        <v>300</v>
      </c>
      <c r="V551">
        <v>1200</v>
      </c>
      <c r="W551">
        <v>1200</v>
      </c>
      <c r="X551">
        <v>2023</v>
      </c>
    </row>
    <row r="552" spans="1:24" x14ac:dyDescent="0.35">
      <c r="A552">
        <v>551</v>
      </c>
      <c r="B552" s="1">
        <v>45121</v>
      </c>
      <c r="C552" s="2" t="s">
        <v>70</v>
      </c>
      <c r="D552" s="2" t="s">
        <v>579</v>
      </c>
      <c r="E552" s="2" t="s">
        <v>14</v>
      </c>
      <c r="F552">
        <v>45</v>
      </c>
      <c r="G552" s="2" t="s">
        <v>22</v>
      </c>
      <c r="H552">
        <v>3</v>
      </c>
      <c r="I552">
        <v>300</v>
      </c>
      <c r="J552">
        <v>900</v>
      </c>
      <c r="K552">
        <v>900</v>
      </c>
      <c r="L552">
        <v>2023</v>
      </c>
      <c r="M552">
        <v>432</v>
      </c>
      <c r="N552">
        <v>44931</v>
      </c>
      <c r="O552" t="str">
        <v>January</v>
      </c>
      <c r="P552" t="str">
        <v>CUST432</v>
      </c>
      <c r="Q552" t="str">
        <v>Female</v>
      </c>
      <c r="R552">
        <v>60</v>
      </c>
      <c r="S552" t="str">
        <v>Electronics</v>
      </c>
      <c r="T552">
        <v>2</v>
      </c>
      <c r="U552">
        <v>500</v>
      </c>
      <c r="V552">
        <v>1000</v>
      </c>
      <c r="W552">
        <v>1000</v>
      </c>
      <c r="X552">
        <v>2023</v>
      </c>
    </row>
    <row r="553" spans="1:24" x14ac:dyDescent="0.35">
      <c r="A553">
        <v>552</v>
      </c>
      <c r="B553" s="1">
        <v>45273</v>
      </c>
      <c r="C553" s="2" t="s">
        <v>31</v>
      </c>
      <c r="D553" s="2" t="s">
        <v>580</v>
      </c>
      <c r="E553" s="2" t="s">
        <v>18</v>
      </c>
      <c r="F553">
        <v>49</v>
      </c>
      <c r="G553" s="2" t="s">
        <v>22</v>
      </c>
      <c r="H553">
        <v>3</v>
      </c>
      <c r="I553">
        <v>25</v>
      </c>
      <c r="J553">
        <v>75</v>
      </c>
      <c r="K553">
        <v>75</v>
      </c>
      <c r="L553">
        <v>2023</v>
      </c>
      <c r="M553">
        <v>433</v>
      </c>
      <c r="N553">
        <v>44984</v>
      </c>
      <c r="O553" t="str">
        <v>February</v>
      </c>
      <c r="P553" t="str">
        <v>CUST433</v>
      </c>
      <c r="Q553" t="str">
        <v>Male</v>
      </c>
      <c r="R553">
        <v>29</v>
      </c>
      <c r="S553" t="str">
        <v>Beauty</v>
      </c>
      <c r="T553">
        <v>4</v>
      </c>
      <c r="U553">
        <v>50</v>
      </c>
      <c r="V553">
        <v>200</v>
      </c>
      <c r="W553">
        <v>200</v>
      </c>
      <c r="X553">
        <v>2023</v>
      </c>
    </row>
    <row r="554" spans="1:24" x14ac:dyDescent="0.35">
      <c r="A554">
        <v>553</v>
      </c>
      <c r="B554" s="1">
        <v>45016</v>
      </c>
      <c r="C554" s="2" t="s">
        <v>28</v>
      </c>
      <c r="D554" s="2" t="s">
        <v>581</v>
      </c>
      <c r="E554" s="2" t="s">
        <v>14</v>
      </c>
      <c r="F554">
        <v>24</v>
      </c>
      <c r="G554" s="2" t="s">
        <v>19</v>
      </c>
      <c r="H554">
        <v>4</v>
      </c>
      <c r="I554">
        <v>300</v>
      </c>
      <c r="J554">
        <v>1200</v>
      </c>
      <c r="K554">
        <v>1200</v>
      </c>
      <c r="L554">
        <v>2023</v>
      </c>
      <c r="M554">
        <v>434</v>
      </c>
      <c r="N554">
        <v>44965</v>
      </c>
      <c r="O554" t="str">
        <v>February</v>
      </c>
      <c r="P554" t="str">
        <v>CUST434</v>
      </c>
      <c r="Q554" t="str">
        <v>Female</v>
      </c>
      <c r="R554">
        <v>43</v>
      </c>
      <c r="S554" t="str">
        <v>Electronics</v>
      </c>
      <c r="T554">
        <v>2</v>
      </c>
      <c r="U554">
        <v>25</v>
      </c>
      <c r="V554">
        <v>50</v>
      </c>
      <c r="W554">
        <v>50</v>
      </c>
      <c r="X554">
        <v>2023</v>
      </c>
    </row>
    <row r="555" spans="1:24" x14ac:dyDescent="0.35">
      <c r="A555">
        <v>554</v>
      </c>
      <c r="B555" s="1">
        <v>45242</v>
      </c>
      <c r="C555" s="2" t="s">
        <v>12</v>
      </c>
      <c r="D555" s="2" t="s">
        <v>582</v>
      </c>
      <c r="E555" s="2" t="s">
        <v>18</v>
      </c>
      <c r="F555">
        <v>46</v>
      </c>
      <c r="G555" s="2" t="s">
        <v>15</v>
      </c>
      <c r="H555">
        <v>3</v>
      </c>
      <c r="I555">
        <v>50</v>
      </c>
      <c r="J555">
        <v>150</v>
      </c>
      <c r="K555">
        <v>150</v>
      </c>
      <c r="L555">
        <v>2023</v>
      </c>
      <c r="M555">
        <v>435</v>
      </c>
      <c r="N555">
        <v>45280</v>
      </c>
      <c r="O555" t="str">
        <v>December</v>
      </c>
      <c r="P555" t="str">
        <v>CUST435</v>
      </c>
      <c r="Q555" t="str">
        <v>Female</v>
      </c>
      <c r="R555">
        <v>30</v>
      </c>
      <c r="S555" t="str">
        <v>Beauty</v>
      </c>
      <c r="T555">
        <v>3</v>
      </c>
      <c r="U555">
        <v>300</v>
      </c>
      <c r="V555">
        <v>900</v>
      </c>
      <c r="W555">
        <v>900</v>
      </c>
      <c r="X555">
        <v>2023</v>
      </c>
    </row>
    <row r="556" spans="1:24" x14ac:dyDescent="0.35">
      <c r="A556">
        <v>555</v>
      </c>
      <c r="B556" s="1">
        <v>45218</v>
      </c>
      <c r="C556" s="2" t="s">
        <v>33</v>
      </c>
      <c r="D556" s="2" t="s">
        <v>583</v>
      </c>
      <c r="E556" s="2" t="s">
        <v>14</v>
      </c>
      <c r="F556">
        <v>25</v>
      </c>
      <c r="G556" s="2" t="s">
        <v>15</v>
      </c>
      <c r="H556">
        <v>1</v>
      </c>
      <c r="I556">
        <v>300</v>
      </c>
      <c r="J556">
        <v>300</v>
      </c>
      <c r="K556">
        <v>300</v>
      </c>
      <c r="L556">
        <v>2023</v>
      </c>
      <c r="M556">
        <v>436</v>
      </c>
      <c r="N556">
        <v>45003</v>
      </c>
      <c r="O556" t="str">
        <v>March</v>
      </c>
      <c r="P556" t="str">
        <v>CUST436</v>
      </c>
      <c r="Q556" t="str">
        <v>Female</v>
      </c>
      <c r="R556">
        <v>57</v>
      </c>
      <c r="S556" t="str">
        <v>Clothing</v>
      </c>
      <c r="T556">
        <v>4</v>
      </c>
      <c r="U556">
        <v>30</v>
      </c>
      <c r="V556">
        <v>120</v>
      </c>
      <c r="W556">
        <v>120</v>
      </c>
      <c r="X556">
        <v>2023</v>
      </c>
    </row>
    <row r="557" spans="1:24" x14ac:dyDescent="0.35">
      <c r="A557">
        <v>556</v>
      </c>
      <c r="B557" s="1">
        <v>45081</v>
      </c>
      <c r="C557" s="2" t="s">
        <v>62</v>
      </c>
      <c r="D557" s="2" t="s">
        <v>584</v>
      </c>
      <c r="E557" s="2" t="s">
        <v>18</v>
      </c>
      <c r="F557">
        <v>18</v>
      </c>
      <c r="G557" s="2" t="s">
        <v>22</v>
      </c>
      <c r="H557">
        <v>1</v>
      </c>
      <c r="I557">
        <v>50</v>
      </c>
      <c r="J557">
        <v>50</v>
      </c>
      <c r="K557">
        <v>50</v>
      </c>
      <c r="L557">
        <v>2023</v>
      </c>
      <c r="M557">
        <v>437</v>
      </c>
      <c r="N557">
        <v>45206</v>
      </c>
      <c r="O557" t="str">
        <v>October</v>
      </c>
      <c r="P557" t="str">
        <v>CUST437</v>
      </c>
      <c r="Q557" t="str">
        <v>Female</v>
      </c>
      <c r="R557">
        <v>35</v>
      </c>
      <c r="S557" t="str">
        <v>Electronics</v>
      </c>
      <c r="T557">
        <v>4</v>
      </c>
      <c r="U557">
        <v>300</v>
      </c>
      <c r="V557">
        <v>1200</v>
      </c>
      <c r="W557">
        <v>1200</v>
      </c>
      <c r="X557">
        <v>2023</v>
      </c>
    </row>
    <row r="558" spans="1:24" x14ac:dyDescent="0.35">
      <c r="A558">
        <v>557</v>
      </c>
      <c r="B558" s="1">
        <v>45134</v>
      </c>
      <c r="C558" s="2" t="s">
        <v>70</v>
      </c>
      <c r="D558" s="2" t="s">
        <v>585</v>
      </c>
      <c r="E558" s="2" t="s">
        <v>18</v>
      </c>
      <c r="F558">
        <v>20</v>
      </c>
      <c r="G558" s="2" t="s">
        <v>15</v>
      </c>
      <c r="H558">
        <v>3</v>
      </c>
      <c r="I558">
        <v>30</v>
      </c>
      <c r="J558">
        <v>90</v>
      </c>
      <c r="K558">
        <v>90</v>
      </c>
      <c r="L558">
        <v>2023</v>
      </c>
      <c r="M558">
        <v>438</v>
      </c>
      <c r="N558">
        <v>44945</v>
      </c>
      <c r="O558" t="str">
        <v>January</v>
      </c>
      <c r="P558" t="str">
        <v>CUST438</v>
      </c>
      <c r="Q558" t="str">
        <v>Female</v>
      </c>
      <c r="R558">
        <v>42</v>
      </c>
      <c r="S558" t="str">
        <v>Clothing</v>
      </c>
      <c r="T558">
        <v>1</v>
      </c>
      <c r="U558">
        <v>30</v>
      </c>
      <c r="V558">
        <v>30</v>
      </c>
      <c r="W558">
        <v>30</v>
      </c>
      <c r="X558">
        <v>2023</v>
      </c>
    </row>
    <row r="559" spans="1:24" x14ac:dyDescent="0.35">
      <c r="A559">
        <v>558</v>
      </c>
      <c r="B559" s="1">
        <v>45207</v>
      </c>
      <c r="C559" s="2" t="s">
        <v>33</v>
      </c>
      <c r="D559" s="2" t="s">
        <v>586</v>
      </c>
      <c r="E559" s="2" t="s">
        <v>18</v>
      </c>
      <c r="F559">
        <v>41</v>
      </c>
      <c r="G559" s="2" t="s">
        <v>19</v>
      </c>
      <c r="H559">
        <v>1</v>
      </c>
      <c r="I559">
        <v>25</v>
      </c>
      <c r="J559">
        <v>25</v>
      </c>
      <c r="K559">
        <v>25</v>
      </c>
      <c r="L559">
        <v>2023</v>
      </c>
      <c r="M559">
        <v>439</v>
      </c>
      <c r="N559">
        <v>45116</v>
      </c>
      <c r="O559" t="str">
        <v>July</v>
      </c>
      <c r="P559" t="str">
        <v>CUST439</v>
      </c>
      <c r="Q559" t="str">
        <v>Male</v>
      </c>
      <c r="R559">
        <v>50</v>
      </c>
      <c r="S559" t="str">
        <v>Clothing</v>
      </c>
      <c r="T559">
        <v>3</v>
      </c>
      <c r="U559">
        <v>25</v>
      </c>
      <c r="V559">
        <v>75</v>
      </c>
      <c r="W559">
        <v>75</v>
      </c>
      <c r="X559">
        <v>2023</v>
      </c>
    </row>
    <row r="560" spans="1:24" x14ac:dyDescent="0.35">
      <c r="A560">
        <v>559</v>
      </c>
      <c r="B560" s="1">
        <v>44927</v>
      </c>
      <c r="C560" s="2" t="s">
        <v>20</v>
      </c>
      <c r="D560" s="2" t="s">
        <v>587</v>
      </c>
      <c r="E560" s="2" t="s">
        <v>18</v>
      </c>
      <c r="F560">
        <v>40</v>
      </c>
      <c r="G560" s="2" t="s">
        <v>19</v>
      </c>
      <c r="H560">
        <v>4</v>
      </c>
      <c r="I560">
        <v>300</v>
      </c>
      <c r="J560">
        <v>1200</v>
      </c>
      <c r="K560">
        <v>1200</v>
      </c>
      <c r="L560">
        <v>2023</v>
      </c>
      <c r="M560">
        <v>440</v>
      </c>
      <c r="N560">
        <v>45225</v>
      </c>
      <c r="O560" t="str">
        <v>October</v>
      </c>
      <c r="P560" t="str">
        <v>CUST440</v>
      </c>
      <c r="Q560" t="str">
        <v>Male</v>
      </c>
      <c r="R560">
        <v>64</v>
      </c>
      <c r="S560" t="str">
        <v>Clothing</v>
      </c>
      <c r="T560">
        <v>2</v>
      </c>
      <c r="U560">
        <v>300</v>
      </c>
      <c r="V560">
        <v>600</v>
      </c>
      <c r="W560">
        <v>600</v>
      </c>
      <c r="X560">
        <v>2023</v>
      </c>
    </row>
    <row r="561" spans="1:24" x14ac:dyDescent="0.35">
      <c r="A561">
        <v>560</v>
      </c>
      <c r="B561" s="1">
        <v>45082</v>
      </c>
      <c r="C561" s="2" t="s">
        <v>62</v>
      </c>
      <c r="D561" s="2" t="s">
        <v>588</v>
      </c>
      <c r="E561" s="2" t="s">
        <v>18</v>
      </c>
      <c r="F561">
        <v>25</v>
      </c>
      <c r="G561" s="2" t="s">
        <v>22</v>
      </c>
      <c r="H561">
        <v>1</v>
      </c>
      <c r="I561">
        <v>50</v>
      </c>
      <c r="J561">
        <v>50</v>
      </c>
      <c r="K561">
        <v>50</v>
      </c>
      <c r="L561">
        <v>2023</v>
      </c>
      <c r="M561">
        <v>441</v>
      </c>
      <c r="N561">
        <v>45209</v>
      </c>
      <c r="O561" t="str">
        <v>October</v>
      </c>
      <c r="P561" t="str">
        <v>CUST441</v>
      </c>
      <c r="Q561" t="str">
        <v>Male</v>
      </c>
      <c r="R561">
        <v>57</v>
      </c>
      <c r="S561" t="str">
        <v>Beauty</v>
      </c>
      <c r="T561">
        <v>4</v>
      </c>
      <c r="U561">
        <v>300</v>
      </c>
      <c r="V561">
        <v>1200</v>
      </c>
      <c r="W561">
        <v>1200</v>
      </c>
      <c r="X561">
        <v>2023</v>
      </c>
    </row>
    <row r="562" spans="1:24" x14ac:dyDescent="0.35">
      <c r="A562">
        <v>561</v>
      </c>
      <c r="B562" s="1">
        <v>45073</v>
      </c>
      <c r="C562" s="2" t="s">
        <v>23</v>
      </c>
      <c r="D562" s="2" t="s">
        <v>589</v>
      </c>
      <c r="E562" s="2" t="s">
        <v>18</v>
      </c>
      <c r="F562">
        <v>64</v>
      </c>
      <c r="G562" s="2" t="s">
        <v>19</v>
      </c>
      <c r="H562">
        <v>4</v>
      </c>
      <c r="I562">
        <v>500</v>
      </c>
      <c r="J562">
        <v>2000</v>
      </c>
      <c r="K562">
        <v>2000</v>
      </c>
      <c r="L562">
        <v>2023</v>
      </c>
      <c r="M562">
        <v>442</v>
      </c>
      <c r="N562">
        <v>45002</v>
      </c>
      <c r="O562" t="str">
        <v>March</v>
      </c>
      <c r="P562" t="str">
        <v>CUST442</v>
      </c>
      <c r="Q562" t="str">
        <v>Female</v>
      </c>
      <c r="R562">
        <v>60</v>
      </c>
      <c r="S562" t="str">
        <v>Clothing</v>
      </c>
      <c r="T562">
        <v>4</v>
      </c>
      <c r="U562">
        <v>25</v>
      </c>
      <c r="V562">
        <v>100</v>
      </c>
      <c r="W562">
        <v>100</v>
      </c>
      <c r="X562">
        <v>2023</v>
      </c>
    </row>
    <row r="563" spans="1:24" x14ac:dyDescent="0.35">
      <c r="A563">
        <v>562</v>
      </c>
      <c r="B563" s="1">
        <v>45034</v>
      </c>
      <c r="C563" s="2" t="s">
        <v>26</v>
      </c>
      <c r="D563" s="2" t="s">
        <v>590</v>
      </c>
      <c r="E563" s="2" t="s">
        <v>14</v>
      </c>
      <c r="F563">
        <v>54</v>
      </c>
      <c r="G563" s="2" t="s">
        <v>22</v>
      </c>
      <c r="H563">
        <v>2</v>
      </c>
      <c r="I563">
        <v>25</v>
      </c>
      <c r="J563">
        <v>50</v>
      </c>
      <c r="K563">
        <v>50</v>
      </c>
      <c r="L563">
        <v>2023</v>
      </c>
      <c r="M563">
        <v>443</v>
      </c>
      <c r="N563">
        <v>45147</v>
      </c>
      <c r="O563" t="str">
        <v>August</v>
      </c>
      <c r="P563" t="str">
        <v>CUST443</v>
      </c>
      <c r="Q563" t="str">
        <v>Male</v>
      </c>
      <c r="R563">
        <v>29</v>
      </c>
      <c r="S563" t="str">
        <v>Clothing</v>
      </c>
      <c r="T563">
        <v>2</v>
      </c>
      <c r="U563">
        <v>300</v>
      </c>
      <c r="V563">
        <v>600</v>
      </c>
      <c r="W563">
        <v>600</v>
      </c>
      <c r="X563">
        <v>2023</v>
      </c>
    </row>
    <row r="564" spans="1:24" x14ac:dyDescent="0.35">
      <c r="A564">
        <v>563</v>
      </c>
      <c r="B564" s="1">
        <v>45147</v>
      </c>
      <c r="C564" s="2" t="s">
        <v>37</v>
      </c>
      <c r="D564" s="2" t="s">
        <v>591</v>
      </c>
      <c r="E564" s="2" t="s">
        <v>14</v>
      </c>
      <c r="F564">
        <v>20</v>
      </c>
      <c r="G564" s="2" t="s">
        <v>19</v>
      </c>
      <c r="H564">
        <v>2</v>
      </c>
      <c r="I564">
        <v>30</v>
      </c>
      <c r="J564">
        <v>60</v>
      </c>
      <c r="K564">
        <v>60</v>
      </c>
      <c r="L564">
        <v>2023</v>
      </c>
      <c r="M564">
        <v>444</v>
      </c>
      <c r="N564">
        <v>44992</v>
      </c>
      <c r="O564" t="str">
        <v>March</v>
      </c>
      <c r="P564" t="str">
        <v>CUST444</v>
      </c>
      <c r="Q564" t="str">
        <v>Female</v>
      </c>
      <c r="R564">
        <v>61</v>
      </c>
      <c r="S564" t="str">
        <v>Clothing</v>
      </c>
      <c r="T564">
        <v>3</v>
      </c>
      <c r="U564">
        <v>30</v>
      </c>
      <c r="V564">
        <v>90</v>
      </c>
      <c r="W564">
        <v>90</v>
      </c>
      <c r="X564">
        <v>2023</v>
      </c>
    </row>
    <row r="565" spans="1:24" x14ac:dyDescent="0.35">
      <c r="A565">
        <v>564</v>
      </c>
      <c r="B565" s="1">
        <v>45223</v>
      </c>
      <c r="C565" s="2" t="s">
        <v>33</v>
      </c>
      <c r="D565" s="2" t="s">
        <v>592</v>
      </c>
      <c r="E565" s="2" t="s">
        <v>14</v>
      </c>
      <c r="F565">
        <v>50</v>
      </c>
      <c r="G565" s="2" t="s">
        <v>22</v>
      </c>
      <c r="H565">
        <v>2</v>
      </c>
      <c r="I565">
        <v>50</v>
      </c>
      <c r="J565">
        <v>100</v>
      </c>
      <c r="K565">
        <v>100</v>
      </c>
      <c r="L565">
        <v>2023</v>
      </c>
      <c r="M565">
        <v>445</v>
      </c>
      <c r="N565">
        <v>44948</v>
      </c>
      <c r="O565" t="str">
        <v>January</v>
      </c>
      <c r="P565" t="str">
        <v>CUST445</v>
      </c>
      <c r="Q565" t="str">
        <v>Female</v>
      </c>
      <c r="R565">
        <v>53</v>
      </c>
      <c r="S565" t="str">
        <v>Electronics</v>
      </c>
      <c r="T565">
        <v>1</v>
      </c>
      <c r="U565">
        <v>300</v>
      </c>
      <c r="V565">
        <v>300</v>
      </c>
      <c r="W565">
        <v>300</v>
      </c>
      <c r="X565">
        <v>2023</v>
      </c>
    </row>
    <row r="566" spans="1:24" x14ac:dyDescent="0.35">
      <c r="A566">
        <v>565</v>
      </c>
      <c r="B566" s="1">
        <v>45237</v>
      </c>
      <c r="C566" s="2" t="s">
        <v>12</v>
      </c>
      <c r="D566" s="2" t="s">
        <v>593</v>
      </c>
      <c r="E566" s="2" t="s">
        <v>18</v>
      </c>
      <c r="F566">
        <v>45</v>
      </c>
      <c r="G566" s="2" t="s">
        <v>15</v>
      </c>
      <c r="H566">
        <v>2</v>
      </c>
      <c r="I566">
        <v>30</v>
      </c>
      <c r="J566">
        <v>60</v>
      </c>
      <c r="K566">
        <v>60</v>
      </c>
      <c r="L566">
        <v>2023</v>
      </c>
      <c r="M566">
        <v>446</v>
      </c>
      <c r="N566">
        <v>45084</v>
      </c>
      <c r="O566" t="str">
        <v>June</v>
      </c>
      <c r="P566" t="str">
        <v>CUST446</v>
      </c>
      <c r="Q566" t="str">
        <v>Male</v>
      </c>
      <c r="R566">
        <v>21</v>
      </c>
      <c r="S566" t="str">
        <v>Electronics</v>
      </c>
      <c r="T566">
        <v>1</v>
      </c>
      <c r="U566">
        <v>50</v>
      </c>
      <c r="V566">
        <v>50</v>
      </c>
      <c r="W566">
        <v>50</v>
      </c>
      <c r="X566">
        <v>2023</v>
      </c>
    </row>
    <row r="567" spans="1:24" x14ac:dyDescent="0.35">
      <c r="A567">
        <v>566</v>
      </c>
      <c r="B567" s="1">
        <v>45262</v>
      </c>
      <c r="C567" s="2" t="s">
        <v>31</v>
      </c>
      <c r="D567" s="2" t="s">
        <v>594</v>
      </c>
      <c r="E567" s="2" t="s">
        <v>18</v>
      </c>
      <c r="F567">
        <v>64</v>
      </c>
      <c r="G567" s="2" t="s">
        <v>19</v>
      </c>
      <c r="H567">
        <v>1</v>
      </c>
      <c r="I567">
        <v>30</v>
      </c>
      <c r="J567">
        <v>30</v>
      </c>
      <c r="K567">
        <v>30</v>
      </c>
      <c r="L567">
        <v>2023</v>
      </c>
      <c r="M567">
        <v>447</v>
      </c>
      <c r="N567">
        <v>45113</v>
      </c>
      <c r="O567" t="str">
        <v>July</v>
      </c>
      <c r="P567" t="str">
        <v>CUST447</v>
      </c>
      <c r="Q567" t="str">
        <v>Male</v>
      </c>
      <c r="R567">
        <v>22</v>
      </c>
      <c r="S567" t="str">
        <v>Beauty</v>
      </c>
      <c r="T567">
        <v>4</v>
      </c>
      <c r="U567">
        <v>500</v>
      </c>
      <c r="V567">
        <v>2000</v>
      </c>
      <c r="W567">
        <v>2000</v>
      </c>
      <c r="X567">
        <v>2023</v>
      </c>
    </row>
    <row r="568" spans="1:24" x14ac:dyDescent="0.35">
      <c r="A568">
        <v>567</v>
      </c>
      <c r="B568" s="1">
        <v>45091</v>
      </c>
      <c r="C568" s="2" t="s">
        <v>62</v>
      </c>
      <c r="D568" s="2" t="s">
        <v>595</v>
      </c>
      <c r="E568" s="2" t="s">
        <v>18</v>
      </c>
      <c r="F568">
        <v>25</v>
      </c>
      <c r="G568" s="2" t="s">
        <v>19</v>
      </c>
      <c r="H568">
        <v>3</v>
      </c>
      <c r="I568">
        <v>300</v>
      </c>
      <c r="J568">
        <v>900</v>
      </c>
      <c r="K568">
        <v>900</v>
      </c>
      <c r="L568">
        <v>2023</v>
      </c>
      <c r="M568">
        <v>448</v>
      </c>
      <c r="N568">
        <v>44947</v>
      </c>
      <c r="O568" t="str">
        <v>January</v>
      </c>
      <c r="P568" t="str">
        <v>CUST448</v>
      </c>
      <c r="Q568" t="str">
        <v>Female</v>
      </c>
      <c r="R568">
        <v>54</v>
      </c>
      <c r="S568" t="str">
        <v>Beauty</v>
      </c>
      <c r="T568">
        <v>2</v>
      </c>
      <c r="U568">
        <v>30</v>
      </c>
      <c r="V568">
        <v>60</v>
      </c>
      <c r="W568">
        <v>60</v>
      </c>
      <c r="X568">
        <v>2023</v>
      </c>
    </row>
    <row r="569" spans="1:24" x14ac:dyDescent="0.35">
      <c r="A569">
        <v>568</v>
      </c>
      <c r="B569" s="1">
        <v>45165</v>
      </c>
      <c r="C569" s="2" t="s">
        <v>37</v>
      </c>
      <c r="D569" s="2" t="s">
        <v>596</v>
      </c>
      <c r="E569" s="2" t="s">
        <v>18</v>
      </c>
      <c r="F569">
        <v>51</v>
      </c>
      <c r="G569" s="2" t="s">
        <v>22</v>
      </c>
      <c r="H569">
        <v>1</v>
      </c>
      <c r="I569">
        <v>300</v>
      </c>
      <c r="J569">
        <v>300</v>
      </c>
      <c r="K569">
        <v>300</v>
      </c>
      <c r="L569">
        <v>2023</v>
      </c>
      <c r="M569">
        <v>449</v>
      </c>
      <c r="N569">
        <v>45110</v>
      </c>
      <c r="O569" t="str">
        <v>July</v>
      </c>
      <c r="P569" t="str">
        <v>CUST449</v>
      </c>
      <c r="Q569" t="str">
        <v>Male</v>
      </c>
      <c r="R569">
        <v>25</v>
      </c>
      <c r="S569" t="str">
        <v>Electronics</v>
      </c>
      <c r="T569">
        <v>4</v>
      </c>
      <c r="U569">
        <v>50</v>
      </c>
      <c r="V569">
        <v>200</v>
      </c>
      <c r="W569">
        <v>200</v>
      </c>
      <c r="X569">
        <v>2023</v>
      </c>
    </row>
    <row r="570" spans="1:24" x14ac:dyDescent="0.35">
      <c r="A570">
        <v>569</v>
      </c>
      <c r="B570" s="1">
        <v>45153</v>
      </c>
      <c r="C570" s="2" t="s">
        <v>37</v>
      </c>
      <c r="D570" s="2" t="s">
        <v>597</v>
      </c>
      <c r="E570" s="2" t="s">
        <v>14</v>
      </c>
      <c r="F570">
        <v>52</v>
      </c>
      <c r="G570" s="2" t="s">
        <v>22</v>
      </c>
      <c r="H570">
        <v>4</v>
      </c>
      <c r="I570">
        <v>50</v>
      </c>
      <c r="J570">
        <v>200</v>
      </c>
      <c r="K570">
        <v>200</v>
      </c>
      <c r="L570">
        <v>2023</v>
      </c>
      <c r="M570">
        <v>450</v>
      </c>
      <c r="N570">
        <v>45034</v>
      </c>
      <c r="O570" t="str">
        <v>April</v>
      </c>
      <c r="P570" t="str">
        <v>CUST450</v>
      </c>
      <c r="Q570" t="str">
        <v>Female</v>
      </c>
      <c r="R570">
        <v>59</v>
      </c>
      <c r="S570" t="str">
        <v>Beauty</v>
      </c>
      <c r="T570">
        <v>2</v>
      </c>
      <c r="U570">
        <v>25</v>
      </c>
      <c r="V570">
        <v>50</v>
      </c>
      <c r="W570">
        <v>50</v>
      </c>
      <c r="X570">
        <v>2023</v>
      </c>
    </row>
    <row r="571" spans="1:24" x14ac:dyDescent="0.35">
      <c r="A571">
        <v>570</v>
      </c>
      <c r="B571" s="1">
        <v>45153</v>
      </c>
      <c r="C571" s="2" t="s">
        <v>37</v>
      </c>
      <c r="D571" s="2" t="s">
        <v>598</v>
      </c>
      <c r="E571" s="2" t="s">
        <v>14</v>
      </c>
      <c r="F571">
        <v>49</v>
      </c>
      <c r="G571" s="2" t="s">
        <v>19</v>
      </c>
      <c r="H571">
        <v>1</v>
      </c>
      <c r="I571">
        <v>500</v>
      </c>
      <c r="J571">
        <v>500</v>
      </c>
      <c r="K571">
        <v>500</v>
      </c>
      <c r="L571">
        <v>2023</v>
      </c>
      <c r="M571">
        <v>451</v>
      </c>
      <c r="N571">
        <v>45276</v>
      </c>
      <c r="O571" t="str">
        <v>December</v>
      </c>
      <c r="P571" t="str">
        <v>CUST451</v>
      </c>
      <c r="Q571" t="str">
        <v>Female</v>
      </c>
      <c r="R571">
        <v>45</v>
      </c>
      <c r="S571" t="str">
        <v>Electronics</v>
      </c>
      <c r="T571">
        <v>1</v>
      </c>
      <c r="U571">
        <v>30</v>
      </c>
      <c r="V571">
        <v>30</v>
      </c>
      <c r="W571">
        <v>30</v>
      </c>
      <c r="X571">
        <v>2023</v>
      </c>
    </row>
    <row r="572" spans="1:24" x14ac:dyDescent="0.35">
      <c r="A572">
        <v>571</v>
      </c>
      <c r="B572" s="1">
        <v>45272</v>
      </c>
      <c r="C572" s="2" t="s">
        <v>31</v>
      </c>
      <c r="D572" s="2" t="s">
        <v>599</v>
      </c>
      <c r="E572" s="2" t="s">
        <v>18</v>
      </c>
      <c r="F572">
        <v>41</v>
      </c>
      <c r="G572" s="2" t="s">
        <v>22</v>
      </c>
      <c r="H572">
        <v>1</v>
      </c>
      <c r="I572">
        <v>50</v>
      </c>
      <c r="J572">
        <v>50</v>
      </c>
      <c r="K572">
        <v>50</v>
      </c>
      <c r="L572">
        <v>2023</v>
      </c>
      <c r="M572">
        <v>452</v>
      </c>
      <c r="N572">
        <v>45054</v>
      </c>
      <c r="O572" t="str">
        <v>May</v>
      </c>
      <c r="P572" t="str">
        <v>CUST452</v>
      </c>
      <c r="Q572" t="str">
        <v>Female</v>
      </c>
      <c r="R572">
        <v>48</v>
      </c>
      <c r="S572" t="str">
        <v>Clothing</v>
      </c>
      <c r="T572">
        <v>3</v>
      </c>
      <c r="U572">
        <v>500</v>
      </c>
      <c r="V572">
        <v>1500</v>
      </c>
      <c r="W572">
        <v>1500</v>
      </c>
      <c r="X572">
        <v>2023</v>
      </c>
    </row>
    <row r="573" spans="1:24" x14ac:dyDescent="0.35">
      <c r="A573">
        <v>572</v>
      </c>
      <c r="B573" s="1">
        <v>45036</v>
      </c>
      <c r="C573" s="2" t="s">
        <v>26</v>
      </c>
      <c r="D573" s="2" t="s">
        <v>600</v>
      </c>
      <c r="E573" s="2" t="s">
        <v>14</v>
      </c>
      <c r="F573">
        <v>31</v>
      </c>
      <c r="G573" s="2" t="s">
        <v>19</v>
      </c>
      <c r="H573">
        <v>4</v>
      </c>
      <c r="I573">
        <v>500</v>
      </c>
      <c r="J573">
        <v>2000</v>
      </c>
      <c r="K573">
        <v>2000</v>
      </c>
      <c r="L573">
        <v>2023</v>
      </c>
      <c r="M573">
        <v>453</v>
      </c>
      <c r="N573">
        <v>45268</v>
      </c>
      <c r="O573" t="str">
        <v>December</v>
      </c>
      <c r="P573" t="str">
        <v>CUST453</v>
      </c>
      <c r="Q573" t="str">
        <v>Female</v>
      </c>
      <c r="R573">
        <v>26</v>
      </c>
      <c r="S573" t="str">
        <v>Clothing</v>
      </c>
      <c r="T573">
        <v>2</v>
      </c>
      <c r="U573">
        <v>500</v>
      </c>
      <c r="V573">
        <v>1000</v>
      </c>
      <c r="W573">
        <v>1000</v>
      </c>
      <c r="X573">
        <v>2023</v>
      </c>
    </row>
    <row r="574" spans="1:24" x14ac:dyDescent="0.35">
      <c r="A574">
        <v>573</v>
      </c>
      <c r="B574" s="1">
        <v>45188</v>
      </c>
      <c r="C574" s="2" t="s">
        <v>44</v>
      </c>
      <c r="D574" s="2" t="s">
        <v>601</v>
      </c>
      <c r="E574" s="2" t="s">
        <v>14</v>
      </c>
      <c r="F574">
        <v>49</v>
      </c>
      <c r="G574" s="2" t="s">
        <v>15</v>
      </c>
      <c r="H574">
        <v>2</v>
      </c>
      <c r="I574">
        <v>30</v>
      </c>
      <c r="J574">
        <v>60</v>
      </c>
      <c r="K574">
        <v>60</v>
      </c>
      <c r="L574">
        <v>2023</v>
      </c>
      <c r="M574">
        <v>454</v>
      </c>
      <c r="N574">
        <v>44979</v>
      </c>
      <c r="O574" t="str">
        <v>February</v>
      </c>
      <c r="P574" t="str">
        <v>CUST454</v>
      </c>
      <c r="Q574" t="str">
        <v>Female</v>
      </c>
      <c r="R574">
        <v>46</v>
      </c>
      <c r="S574" t="str">
        <v>Beauty</v>
      </c>
      <c r="T574">
        <v>1</v>
      </c>
      <c r="U574">
        <v>25</v>
      </c>
      <c r="V574">
        <v>25</v>
      </c>
      <c r="W574">
        <v>25</v>
      </c>
      <c r="X574">
        <v>2023</v>
      </c>
    </row>
    <row r="575" spans="1:24" x14ac:dyDescent="0.35">
      <c r="A575">
        <v>574</v>
      </c>
      <c r="B575" s="1">
        <v>45169</v>
      </c>
      <c r="C575" s="2" t="s">
        <v>37</v>
      </c>
      <c r="D575" s="2" t="s">
        <v>602</v>
      </c>
      <c r="E575" s="2" t="s">
        <v>18</v>
      </c>
      <c r="F575">
        <v>63</v>
      </c>
      <c r="G575" s="2" t="s">
        <v>22</v>
      </c>
      <c r="H575">
        <v>2</v>
      </c>
      <c r="I575">
        <v>25</v>
      </c>
      <c r="J575">
        <v>50</v>
      </c>
      <c r="K575">
        <v>50</v>
      </c>
      <c r="L575">
        <v>2023</v>
      </c>
      <c r="M575">
        <v>455</v>
      </c>
      <c r="N575">
        <v>45108</v>
      </c>
      <c r="O575" t="str">
        <v>July</v>
      </c>
      <c r="P575" t="str">
        <v>CUST455</v>
      </c>
      <c r="Q575" t="str">
        <v>Male</v>
      </c>
      <c r="R575">
        <v>31</v>
      </c>
      <c r="S575" t="str">
        <v>Electronics</v>
      </c>
      <c r="T575">
        <v>4</v>
      </c>
      <c r="U575">
        <v>25</v>
      </c>
      <c r="V575">
        <v>100</v>
      </c>
      <c r="W575">
        <v>100</v>
      </c>
      <c r="X575">
        <v>2023</v>
      </c>
    </row>
    <row r="576" spans="1:24" x14ac:dyDescent="0.35">
      <c r="A576">
        <v>575</v>
      </c>
      <c r="B576" s="1">
        <v>45013</v>
      </c>
      <c r="C576" s="2" t="s">
        <v>28</v>
      </c>
      <c r="D576" s="2" t="s">
        <v>603</v>
      </c>
      <c r="E576" s="2" t="s">
        <v>14</v>
      </c>
      <c r="F576">
        <v>60</v>
      </c>
      <c r="G576" s="2" t="s">
        <v>19</v>
      </c>
      <c r="H576">
        <v>2</v>
      </c>
      <c r="I576">
        <v>50</v>
      </c>
      <c r="J576">
        <v>100</v>
      </c>
      <c r="K576">
        <v>100</v>
      </c>
      <c r="L576">
        <v>2023</v>
      </c>
      <c r="M576">
        <v>456</v>
      </c>
      <c r="N576">
        <v>45213</v>
      </c>
      <c r="O576" t="str">
        <v>October</v>
      </c>
      <c r="P576" t="str">
        <v>CUST456</v>
      </c>
      <c r="Q576" t="str">
        <v>Male</v>
      </c>
      <c r="R576">
        <v>57</v>
      </c>
      <c r="S576" t="str">
        <v>Electronics</v>
      </c>
      <c r="T576">
        <v>2</v>
      </c>
      <c r="U576">
        <v>30</v>
      </c>
      <c r="V576">
        <v>60</v>
      </c>
      <c r="W576">
        <v>60</v>
      </c>
      <c r="X576">
        <v>2023</v>
      </c>
    </row>
    <row r="577" spans="1:24" x14ac:dyDescent="0.35">
      <c r="A577">
        <v>576</v>
      </c>
      <c r="B577" s="1">
        <v>45264</v>
      </c>
      <c r="C577" s="2" t="s">
        <v>31</v>
      </c>
      <c r="D577" s="2" t="s">
        <v>604</v>
      </c>
      <c r="E577" s="2" t="s">
        <v>18</v>
      </c>
      <c r="F577">
        <v>33</v>
      </c>
      <c r="G577" s="2" t="s">
        <v>15</v>
      </c>
      <c r="H577">
        <v>3</v>
      </c>
      <c r="I577">
        <v>50</v>
      </c>
      <c r="J577">
        <v>150</v>
      </c>
      <c r="K577">
        <v>150</v>
      </c>
      <c r="L577">
        <v>2023</v>
      </c>
      <c r="M577">
        <v>457</v>
      </c>
      <c r="N577">
        <v>45135</v>
      </c>
      <c r="O577" t="str">
        <v>July</v>
      </c>
      <c r="P577" t="str">
        <v>CUST457</v>
      </c>
      <c r="Q577" t="str">
        <v>Female</v>
      </c>
      <c r="R577">
        <v>58</v>
      </c>
      <c r="S577" t="str">
        <v>Beauty</v>
      </c>
      <c r="T577">
        <v>3</v>
      </c>
      <c r="U577">
        <v>300</v>
      </c>
      <c r="V577">
        <v>900</v>
      </c>
      <c r="W577">
        <v>900</v>
      </c>
      <c r="X577">
        <v>2023</v>
      </c>
    </row>
    <row r="578" spans="1:24" x14ac:dyDescent="0.35">
      <c r="A578">
        <v>577</v>
      </c>
      <c r="B578" s="1">
        <v>44970</v>
      </c>
      <c r="C578" s="2" t="s">
        <v>16</v>
      </c>
      <c r="D578" s="2" t="s">
        <v>605</v>
      </c>
      <c r="E578" s="2" t="s">
        <v>14</v>
      </c>
      <c r="F578">
        <v>21</v>
      </c>
      <c r="G578" s="2" t="s">
        <v>15</v>
      </c>
      <c r="H578">
        <v>4</v>
      </c>
      <c r="I578">
        <v>500</v>
      </c>
      <c r="J578">
        <v>2000</v>
      </c>
      <c r="K578">
        <v>2000</v>
      </c>
      <c r="L578">
        <v>2023</v>
      </c>
      <c r="M578">
        <v>458</v>
      </c>
      <c r="N578">
        <v>45244</v>
      </c>
      <c r="O578" t="str">
        <v>November</v>
      </c>
      <c r="P578" t="str">
        <v>CUST458</v>
      </c>
      <c r="Q578" t="str">
        <v>Female</v>
      </c>
      <c r="R578">
        <v>39</v>
      </c>
      <c r="S578" t="str">
        <v>Electronics</v>
      </c>
      <c r="T578">
        <v>4</v>
      </c>
      <c r="U578">
        <v>25</v>
      </c>
      <c r="V578">
        <v>100</v>
      </c>
      <c r="W578">
        <v>100</v>
      </c>
      <c r="X578">
        <v>2023</v>
      </c>
    </row>
    <row r="579" spans="1:24" x14ac:dyDescent="0.35">
      <c r="A579">
        <v>578</v>
      </c>
      <c r="B579" s="1">
        <v>45072</v>
      </c>
      <c r="C579" s="2" t="s">
        <v>23</v>
      </c>
      <c r="D579" s="2" t="s">
        <v>606</v>
      </c>
      <c r="E579" s="2" t="s">
        <v>18</v>
      </c>
      <c r="F579">
        <v>54</v>
      </c>
      <c r="G579" s="2" t="s">
        <v>19</v>
      </c>
      <c r="H579">
        <v>4</v>
      </c>
      <c r="I579">
        <v>30</v>
      </c>
      <c r="J579">
        <v>120</v>
      </c>
      <c r="K579">
        <v>120</v>
      </c>
      <c r="L579">
        <v>2023</v>
      </c>
      <c r="M579">
        <v>459</v>
      </c>
      <c r="N579">
        <v>45006</v>
      </c>
      <c r="O579" t="str">
        <v>March</v>
      </c>
      <c r="P579" t="str">
        <v>CUST459</v>
      </c>
      <c r="Q579" t="str">
        <v>Male</v>
      </c>
      <c r="R579">
        <v>28</v>
      </c>
      <c r="S579" t="str">
        <v>Clothing</v>
      </c>
      <c r="T579">
        <v>4</v>
      </c>
      <c r="U579">
        <v>300</v>
      </c>
      <c r="V579">
        <v>1200</v>
      </c>
      <c r="W579">
        <v>1200</v>
      </c>
      <c r="X579">
        <v>2023</v>
      </c>
    </row>
    <row r="580" spans="1:24" x14ac:dyDescent="0.35">
      <c r="A580">
        <v>579</v>
      </c>
      <c r="B580" s="1">
        <v>45190</v>
      </c>
      <c r="C580" s="2" t="s">
        <v>44</v>
      </c>
      <c r="D580" s="2" t="s">
        <v>607</v>
      </c>
      <c r="E580" s="2" t="s">
        <v>18</v>
      </c>
      <c r="F580">
        <v>38</v>
      </c>
      <c r="G580" s="2" t="s">
        <v>22</v>
      </c>
      <c r="H580">
        <v>1</v>
      </c>
      <c r="I580">
        <v>30</v>
      </c>
      <c r="J580">
        <v>30</v>
      </c>
      <c r="K580">
        <v>30</v>
      </c>
      <c r="L580">
        <v>2023</v>
      </c>
      <c r="M580">
        <v>460</v>
      </c>
      <c r="N580">
        <v>45048</v>
      </c>
      <c r="O580" t="str">
        <v>May</v>
      </c>
      <c r="P580" t="str">
        <v>CUST460</v>
      </c>
      <c r="Q580" t="str">
        <v>Male</v>
      </c>
      <c r="R580">
        <v>40</v>
      </c>
      <c r="S580" t="str">
        <v>Beauty</v>
      </c>
      <c r="T580">
        <v>1</v>
      </c>
      <c r="U580">
        <v>50</v>
      </c>
      <c r="V580">
        <v>50</v>
      </c>
      <c r="W580">
        <v>50</v>
      </c>
      <c r="X580">
        <v>2023</v>
      </c>
    </row>
    <row r="581" spans="1:24" x14ac:dyDescent="0.35">
      <c r="A581">
        <v>580</v>
      </c>
      <c r="B581" s="1">
        <v>45266</v>
      </c>
      <c r="C581" s="2" t="s">
        <v>31</v>
      </c>
      <c r="D581" s="2" t="s">
        <v>608</v>
      </c>
      <c r="E581" s="2" t="s">
        <v>18</v>
      </c>
      <c r="F581">
        <v>31</v>
      </c>
      <c r="G581" s="2" t="s">
        <v>19</v>
      </c>
      <c r="H581">
        <v>3</v>
      </c>
      <c r="I581">
        <v>500</v>
      </c>
      <c r="J581">
        <v>1500</v>
      </c>
      <c r="K581">
        <v>1500</v>
      </c>
      <c r="L581">
        <v>2023</v>
      </c>
      <c r="M581">
        <v>461</v>
      </c>
      <c r="N581">
        <v>45010</v>
      </c>
      <c r="O581" t="str">
        <v>March</v>
      </c>
      <c r="P581" t="str">
        <v>CUST461</v>
      </c>
      <c r="Q581" t="str">
        <v>Female</v>
      </c>
      <c r="R581">
        <v>18</v>
      </c>
      <c r="S581" t="str">
        <v>Beauty</v>
      </c>
      <c r="T581">
        <v>2</v>
      </c>
      <c r="U581">
        <v>500</v>
      </c>
      <c r="V581">
        <v>1000</v>
      </c>
      <c r="W581">
        <v>1000</v>
      </c>
      <c r="X581">
        <v>2023</v>
      </c>
    </row>
    <row r="582" spans="1:24" x14ac:dyDescent="0.35">
      <c r="A582">
        <v>581</v>
      </c>
      <c r="B582" s="1">
        <v>45251</v>
      </c>
      <c r="C582" s="2" t="s">
        <v>12</v>
      </c>
      <c r="D582" s="2" t="s">
        <v>609</v>
      </c>
      <c r="E582" s="2" t="s">
        <v>18</v>
      </c>
      <c r="F582">
        <v>48</v>
      </c>
      <c r="G582" s="2" t="s">
        <v>15</v>
      </c>
      <c r="H582">
        <v>2</v>
      </c>
      <c r="I582">
        <v>30</v>
      </c>
      <c r="J582">
        <v>60</v>
      </c>
      <c r="K582">
        <v>60</v>
      </c>
      <c r="L582">
        <v>2023</v>
      </c>
      <c r="M582">
        <v>462</v>
      </c>
      <c r="N582">
        <v>45017</v>
      </c>
      <c r="O582" t="str">
        <v>April</v>
      </c>
      <c r="P582" t="str">
        <v>CUST462</v>
      </c>
      <c r="Q582" t="str">
        <v>Male</v>
      </c>
      <c r="R582">
        <v>63</v>
      </c>
      <c r="S582" t="str">
        <v>Electronics</v>
      </c>
      <c r="T582">
        <v>4</v>
      </c>
      <c r="U582">
        <v>300</v>
      </c>
      <c r="V582">
        <v>1200</v>
      </c>
      <c r="W582">
        <v>1200</v>
      </c>
      <c r="X582">
        <v>2023</v>
      </c>
    </row>
    <row r="583" spans="1:24" x14ac:dyDescent="0.35">
      <c r="A583">
        <v>582</v>
      </c>
      <c r="B583" s="1">
        <v>45244</v>
      </c>
      <c r="C583" s="2" t="s">
        <v>12</v>
      </c>
      <c r="D583" s="2" t="s">
        <v>610</v>
      </c>
      <c r="E583" s="2" t="s">
        <v>14</v>
      </c>
      <c r="F583">
        <v>35</v>
      </c>
      <c r="G583" s="2" t="s">
        <v>19</v>
      </c>
      <c r="H583">
        <v>3</v>
      </c>
      <c r="I583">
        <v>300</v>
      </c>
      <c r="J583">
        <v>900</v>
      </c>
      <c r="K583">
        <v>900</v>
      </c>
      <c r="L583">
        <v>2023</v>
      </c>
      <c r="M583">
        <v>463</v>
      </c>
      <c r="N583">
        <v>45138</v>
      </c>
      <c r="O583" t="str">
        <v>July</v>
      </c>
      <c r="P583" t="str">
        <v>CUST463</v>
      </c>
      <c r="Q583" t="str">
        <v>Female</v>
      </c>
      <c r="R583">
        <v>54</v>
      </c>
      <c r="S583" t="str">
        <v>Beauty</v>
      </c>
      <c r="T583">
        <v>3</v>
      </c>
      <c r="U583">
        <v>500</v>
      </c>
      <c r="V583">
        <v>1500</v>
      </c>
      <c r="W583">
        <v>1500</v>
      </c>
      <c r="X583">
        <v>2023</v>
      </c>
    </row>
    <row r="584" spans="1:24" x14ac:dyDescent="0.35">
      <c r="A584">
        <v>583</v>
      </c>
      <c r="B584" s="1">
        <v>45098</v>
      </c>
      <c r="C584" s="2" t="s">
        <v>62</v>
      </c>
      <c r="D584" s="2" t="s">
        <v>611</v>
      </c>
      <c r="E584" s="2" t="s">
        <v>18</v>
      </c>
      <c r="F584">
        <v>24</v>
      </c>
      <c r="G584" s="2" t="s">
        <v>22</v>
      </c>
      <c r="H584">
        <v>4</v>
      </c>
      <c r="I584">
        <v>25</v>
      </c>
      <c r="J584">
        <v>100</v>
      </c>
      <c r="K584">
        <v>100</v>
      </c>
      <c r="L584">
        <v>2023</v>
      </c>
      <c r="M584">
        <v>464</v>
      </c>
      <c r="N584">
        <v>44939</v>
      </c>
      <c r="O584" t="str">
        <v>January</v>
      </c>
      <c r="P584" t="str">
        <v>CUST464</v>
      </c>
      <c r="Q584" t="str">
        <v>Male</v>
      </c>
      <c r="R584">
        <v>38</v>
      </c>
      <c r="S584" t="str">
        <v>Electronics</v>
      </c>
      <c r="T584">
        <v>2</v>
      </c>
      <c r="U584">
        <v>300</v>
      </c>
      <c r="V584">
        <v>600</v>
      </c>
      <c r="W584">
        <v>600</v>
      </c>
      <c r="X584">
        <v>2023</v>
      </c>
    </row>
    <row r="585" spans="1:24" x14ac:dyDescent="0.35">
      <c r="A585">
        <v>584</v>
      </c>
      <c r="B585" s="1">
        <v>44974</v>
      </c>
      <c r="C585" s="2" t="s">
        <v>16</v>
      </c>
      <c r="D585" s="2" t="s">
        <v>612</v>
      </c>
      <c r="E585" s="2" t="s">
        <v>18</v>
      </c>
      <c r="F585">
        <v>27</v>
      </c>
      <c r="G585" s="2" t="s">
        <v>15</v>
      </c>
      <c r="H585">
        <v>4</v>
      </c>
      <c r="I585">
        <v>50</v>
      </c>
      <c r="J585">
        <v>200</v>
      </c>
      <c r="K585">
        <v>200</v>
      </c>
      <c r="L585">
        <v>2023</v>
      </c>
      <c r="M585">
        <v>465</v>
      </c>
      <c r="N585">
        <v>45018</v>
      </c>
      <c r="O585" t="str">
        <v>April</v>
      </c>
      <c r="P585" t="str">
        <v>CUST465</v>
      </c>
      <c r="Q585" t="str">
        <v>Female</v>
      </c>
      <c r="R585">
        <v>43</v>
      </c>
      <c r="S585" t="str">
        <v>Electronics</v>
      </c>
      <c r="T585">
        <v>3</v>
      </c>
      <c r="U585">
        <v>50</v>
      </c>
      <c r="V585">
        <v>150</v>
      </c>
      <c r="W585">
        <v>150</v>
      </c>
      <c r="X585">
        <v>2023</v>
      </c>
    </row>
    <row r="586" spans="1:24" x14ac:dyDescent="0.35">
      <c r="A586">
        <v>585</v>
      </c>
      <c r="B586" s="1">
        <v>45047</v>
      </c>
      <c r="C586" s="2" t="s">
        <v>23</v>
      </c>
      <c r="D586" s="2" t="s">
        <v>613</v>
      </c>
      <c r="E586" s="2" t="s">
        <v>18</v>
      </c>
      <c r="F586">
        <v>24</v>
      </c>
      <c r="G586" s="2" t="s">
        <v>19</v>
      </c>
      <c r="H586">
        <v>1</v>
      </c>
      <c r="I586">
        <v>25</v>
      </c>
      <c r="J586">
        <v>25</v>
      </c>
      <c r="K586">
        <v>25</v>
      </c>
      <c r="L586">
        <v>2023</v>
      </c>
      <c r="M586">
        <v>466</v>
      </c>
      <c r="N586">
        <v>45097</v>
      </c>
      <c r="O586" t="str">
        <v>June</v>
      </c>
      <c r="P586" t="str">
        <v>CUST466</v>
      </c>
      <c r="Q586" t="str">
        <v>Male</v>
      </c>
      <c r="R586">
        <v>63</v>
      </c>
      <c r="S586" t="str">
        <v>Electronics</v>
      </c>
      <c r="T586">
        <v>4</v>
      </c>
      <c r="U586">
        <v>25</v>
      </c>
      <c r="V586">
        <v>100</v>
      </c>
      <c r="W586">
        <v>100</v>
      </c>
      <c r="X586">
        <v>2023</v>
      </c>
    </row>
    <row r="587" spans="1:24" x14ac:dyDescent="0.35">
      <c r="A587">
        <v>586</v>
      </c>
      <c r="B587" s="1">
        <v>45271</v>
      </c>
      <c r="C587" s="2" t="s">
        <v>31</v>
      </c>
      <c r="D587" s="2" t="s">
        <v>614</v>
      </c>
      <c r="E587" s="2" t="s">
        <v>14</v>
      </c>
      <c r="F587">
        <v>50</v>
      </c>
      <c r="G587" s="2" t="s">
        <v>22</v>
      </c>
      <c r="H587">
        <v>1</v>
      </c>
      <c r="I587">
        <v>50</v>
      </c>
      <c r="J587">
        <v>50</v>
      </c>
      <c r="K587">
        <v>50</v>
      </c>
      <c r="L587">
        <v>2023</v>
      </c>
      <c r="M587">
        <v>467</v>
      </c>
      <c r="N587">
        <v>45137</v>
      </c>
      <c r="O587" t="str">
        <v>July</v>
      </c>
      <c r="P587" t="str">
        <v>CUST467</v>
      </c>
      <c r="Q587" t="str">
        <v>Female</v>
      </c>
      <c r="R587">
        <v>53</v>
      </c>
      <c r="S587" t="str">
        <v>Electronics</v>
      </c>
      <c r="T587">
        <v>3</v>
      </c>
      <c r="U587">
        <v>50</v>
      </c>
      <c r="V587">
        <v>150</v>
      </c>
      <c r="W587">
        <v>150</v>
      </c>
      <c r="X587">
        <v>2023</v>
      </c>
    </row>
    <row r="588" spans="1:24" x14ac:dyDescent="0.35">
      <c r="A588">
        <v>587</v>
      </c>
      <c r="B588" s="1">
        <v>45085</v>
      </c>
      <c r="C588" s="2" t="s">
        <v>62</v>
      </c>
      <c r="D588" s="2" t="s">
        <v>615</v>
      </c>
      <c r="E588" s="2" t="s">
        <v>18</v>
      </c>
      <c r="F588">
        <v>40</v>
      </c>
      <c r="G588" s="2" t="s">
        <v>15</v>
      </c>
      <c r="H588">
        <v>4</v>
      </c>
      <c r="I588">
        <v>300</v>
      </c>
      <c r="J588">
        <v>1200</v>
      </c>
      <c r="K588">
        <v>1200</v>
      </c>
      <c r="L588">
        <v>2023</v>
      </c>
      <c r="M588">
        <v>468</v>
      </c>
      <c r="N588">
        <v>45269</v>
      </c>
      <c r="O588" t="str">
        <v>December</v>
      </c>
      <c r="P588" t="str">
        <v>CUST468</v>
      </c>
      <c r="Q588" t="str">
        <v>Male</v>
      </c>
      <c r="R588">
        <v>40</v>
      </c>
      <c r="S588" t="str">
        <v>Electronics</v>
      </c>
      <c r="T588">
        <v>1</v>
      </c>
      <c r="U588">
        <v>25</v>
      </c>
      <c r="V588">
        <v>25</v>
      </c>
      <c r="W588">
        <v>25</v>
      </c>
      <c r="X588">
        <v>2023</v>
      </c>
    </row>
    <row r="589" spans="1:24" x14ac:dyDescent="0.35">
      <c r="A589">
        <v>588</v>
      </c>
      <c r="B589" s="1">
        <v>45042</v>
      </c>
      <c r="C589" s="2" t="s">
        <v>26</v>
      </c>
      <c r="D589" s="2" t="s">
        <v>616</v>
      </c>
      <c r="E589" s="2" t="s">
        <v>14</v>
      </c>
      <c r="F589">
        <v>38</v>
      </c>
      <c r="G589" s="2" t="s">
        <v>22</v>
      </c>
      <c r="H589">
        <v>2</v>
      </c>
      <c r="I589">
        <v>30</v>
      </c>
      <c r="J589">
        <v>60</v>
      </c>
      <c r="K589">
        <v>60</v>
      </c>
      <c r="L589">
        <v>2023</v>
      </c>
      <c r="M589">
        <v>469</v>
      </c>
      <c r="N589">
        <v>45054</v>
      </c>
      <c r="O589" t="str">
        <v>May</v>
      </c>
      <c r="P589" t="str">
        <v>CUST469</v>
      </c>
      <c r="Q589" t="str">
        <v>Male</v>
      </c>
      <c r="R589">
        <v>18</v>
      </c>
      <c r="S589" t="str">
        <v>Beauty</v>
      </c>
      <c r="T589">
        <v>3</v>
      </c>
      <c r="U589">
        <v>25</v>
      </c>
      <c r="V589">
        <v>75</v>
      </c>
      <c r="W589">
        <v>75</v>
      </c>
      <c r="X589">
        <v>2023</v>
      </c>
    </row>
    <row r="590" spans="1:24" x14ac:dyDescent="0.35">
      <c r="A590">
        <v>589</v>
      </c>
      <c r="B590" s="1">
        <v>45028</v>
      </c>
      <c r="C590" s="2" t="s">
        <v>26</v>
      </c>
      <c r="D590" s="2" t="s">
        <v>617</v>
      </c>
      <c r="E590" s="2" t="s">
        <v>18</v>
      </c>
      <c r="F590">
        <v>36</v>
      </c>
      <c r="G590" s="2" t="s">
        <v>15</v>
      </c>
      <c r="H590">
        <v>2</v>
      </c>
      <c r="I590">
        <v>500</v>
      </c>
      <c r="J590">
        <v>1000</v>
      </c>
      <c r="K590">
        <v>1000</v>
      </c>
      <c r="L590">
        <v>2023</v>
      </c>
      <c r="M590">
        <v>470</v>
      </c>
      <c r="N590">
        <v>45063</v>
      </c>
      <c r="O590" t="str">
        <v>May</v>
      </c>
      <c r="P590" t="str">
        <v>CUST470</v>
      </c>
      <c r="Q590" t="str">
        <v>Female</v>
      </c>
      <c r="R590">
        <v>57</v>
      </c>
      <c r="S590" t="str">
        <v>Clothing</v>
      </c>
      <c r="T590">
        <v>2</v>
      </c>
      <c r="U590">
        <v>500</v>
      </c>
      <c r="V590">
        <v>1000</v>
      </c>
      <c r="W590">
        <v>1000</v>
      </c>
      <c r="X590">
        <v>2023</v>
      </c>
    </row>
    <row r="591" spans="1:24" x14ac:dyDescent="0.35">
      <c r="A591">
        <v>590</v>
      </c>
      <c r="B591" s="1">
        <v>45002</v>
      </c>
      <c r="C591" s="2" t="s">
        <v>28</v>
      </c>
      <c r="D591" s="2" t="s">
        <v>618</v>
      </c>
      <c r="E591" s="2" t="s">
        <v>14</v>
      </c>
      <c r="F591">
        <v>36</v>
      </c>
      <c r="G591" s="2" t="s">
        <v>19</v>
      </c>
      <c r="H591">
        <v>3</v>
      </c>
      <c r="I591">
        <v>300</v>
      </c>
      <c r="J591">
        <v>900</v>
      </c>
      <c r="K591">
        <v>900</v>
      </c>
      <c r="L591">
        <v>2023</v>
      </c>
      <c r="M591">
        <v>471</v>
      </c>
      <c r="N591">
        <v>45008</v>
      </c>
      <c r="O591" t="str">
        <v>March</v>
      </c>
      <c r="P591" t="str">
        <v>CUST471</v>
      </c>
      <c r="Q591" t="str">
        <v>Male</v>
      </c>
      <c r="R591">
        <v>32</v>
      </c>
      <c r="S591" t="str">
        <v>Clothing</v>
      </c>
      <c r="T591">
        <v>3</v>
      </c>
      <c r="U591">
        <v>50</v>
      </c>
      <c r="V591">
        <v>150</v>
      </c>
      <c r="W591">
        <v>150</v>
      </c>
      <c r="X591">
        <v>2023</v>
      </c>
    </row>
    <row r="592" spans="1:24" x14ac:dyDescent="0.35">
      <c r="A592">
        <v>591</v>
      </c>
      <c r="B592" s="1">
        <v>44939</v>
      </c>
      <c r="C592" s="2" t="s">
        <v>20</v>
      </c>
      <c r="D592" s="2" t="s">
        <v>619</v>
      </c>
      <c r="E592" s="2" t="s">
        <v>14</v>
      </c>
      <c r="F592">
        <v>53</v>
      </c>
      <c r="G592" s="2" t="s">
        <v>22</v>
      </c>
      <c r="H592">
        <v>4</v>
      </c>
      <c r="I592">
        <v>25</v>
      </c>
      <c r="J592">
        <v>100</v>
      </c>
      <c r="K592">
        <v>100</v>
      </c>
      <c r="L592">
        <v>2023</v>
      </c>
      <c r="M592">
        <v>472</v>
      </c>
      <c r="N592">
        <v>45286</v>
      </c>
      <c r="O592" t="str">
        <v>December</v>
      </c>
      <c r="P592" t="str">
        <v>CUST472</v>
      </c>
      <c r="Q592" t="str">
        <v>Female</v>
      </c>
      <c r="R592">
        <v>38</v>
      </c>
      <c r="S592" t="str">
        <v>Beauty</v>
      </c>
      <c r="T592">
        <v>3</v>
      </c>
      <c r="U592">
        <v>300</v>
      </c>
      <c r="V592">
        <v>900</v>
      </c>
      <c r="W592">
        <v>900</v>
      </c>
      <c r="X592">
        <v>2023</v>
      </c>
    </row>
    <row r="593" spans="1:24" x14ac:dyDescent="0.35">
      <c r="A593">
        <v>592</v>
      </c>
      <c r="B593" s="1">
        <v>44950</v>
      </c>
      <c r="C593" s="2" t="s">
        <v>20</v>
      </c>
      <c r="D593" s="2" t="s">
        <v>620</v>
      </c>
      <c r="E593" s="2" t="s">
        <v>18</v>
      </c>
      <c r="F593">
        <v>46</v>
      </c>
      <c r="G593" s="2" t="s">
        <v>15</v>
      </c>
      <c r="H593">
        <v>4</v>
      </c>
      <c r="I593">
        <v>500</v>
      </c>
      <c r="J593">
        <v>2000</v>
      </c>
      <c r="K593">
        <v>2000</v>
      </c>
      <c r="L593">
        <v>2023</v>
      </c>
      <c r="M593">
        <v>473</v>
      </c>
      <c r="N593">
        <v>44982</v>
      </c>
      <c r="O593" t="str">
        <v>February</v>
      </c>
      <c r="P593" t="str">
        <v>CUST473</v>
      </c>
      <c r="Q593" t="str">
        <v>Male</v>
      </c>
      <c r="R593">
        <v>64</v>
      </c>
      <c r="S593" t="str">
        <v>Beauty</v>
      </c>
      <c r="T593">
        <v>1</v>
      </c>
      <c r="U593">
        <v>50</v>
      </c>
      <c r="V593">
        <v>50</v>
      </c>
      <c r="W593">
        <v>50</v>
      </c>
      <c r="X593">
        <v>2023</v>
      </c>
    </row>
    <row r="594" spans="1:24" x14ac:dyDescent="0.35">
      <c r="A594">
        <v>593</v>
      </c>
      <c r="B594" s="1">
        <v>45052</v>
      </c>
      <c r="C594" s="2" t="s">
        <v>23</v>
      </c>
      <c r="D594" s="2" t="s">
        <v>621</v>
      </c>
      <c r="E594" s="2" t="s">
        <v>14</v>
      </c>
      <c r="F594">
        <v>35</v>
      </c>
      <c r="G594" s="2" t="s">
        <v>22</v>
      </c>
      <c r="H594">
        <v>2</v>
      </c>
      <c r="I594">
        <v>30</v>
      </c>
      <c r="J594">
        <v>60</v>
      </c>
      <c r="K594">
        <v>60</v>
      </c>
      <c r="L594">
        <v>2023</v>
      </c>
      <c r="M594">
        <v>474</v>
      </c>
      <c r="N594">
        <v>45122</v>
      </c>
      <c r="O594" t="str">
        <v>July</v>
      </c>
      <c r="P594" t="str">
        <v>CUST474</v>
      </c>
      <c r="Q594" t="str">
        <v>Female</v>
      </c>
      <c r="R594">
        <v>26</v>
      </c>
      <c r="S594" t="str">
        <v>Clothing</v>
      </c>
      <c r="T594">
        <v>3</v>
      </c>
      <c r="U594">
        <v>500</v>
      </c>
      <c r="V594">
        <v>1500</v>
      </c>
      <c r="W594">
        <v>1500</v>
      </c>
      <c r="X594">
        <v>2023</v>
      </c>
    </row>
    <row r="595" spans="1:24" x14ac:dyDescent="0.35">
      <c r="A595">
        <v>594</v>
      </c>
      <c r="B595" s="1">
        <v>45170</v>
      </c>
      <c r="C595" s="2" t="s">
        <v>44</v>
      </c>
      <c r="D595" s="2" t="s">
        <v>622</v>
      </c>
      <c r="E595" s="2" t="s">
        <v>18</v>
      </c>
      <c r="F595">
        <v>19</v>
      </c>
      <c r="G595" s="2" t="s">
        <v>22</v>
      </c>
      <c r="H595">
        <v>2</v>
      </c>
      <c r="I595">
        <v>300</v>
      </c>
      <c r="J595">
        <v>600</v>
      </c>
      <c r="K595">
        <v>600</v>
      </c>
      <c r="L595">
        <v>2023</v>
      </c>
      <c r="M595">
        <v>475</v>
      </c>
      <c r="N595">
        <v>44946</v>
      </c>
      <c r="O595" t="str">
        <v>January</v>
      </c>
      <c r="P595" t="str">
        <v>CUST475</v>
      </c>
      <c r="Q595" t="str">
        <v>Male</v>
      </c>
      <c r="R595">
        <v>26</v>
      </c>
      <c r="S595" t="str">
        <v>Clothing</v>
      </c>
      <c r="T595">
        <v>3</v>
      </c>
      <c r="U595">
        <v>25</v>
      </c>
      <c r="V595">
        <v>75</v>
      </c>
      <c r="W595">
        <v>75</v>
      </c>
      <c r="X595">
        <v>2023</v>
      </c>
    </row>
    <row r="596" spans="1:24" x14ac:dyDescent="0.35">
      <c r="A596">
        <v>595</v>
      </c>
      <c r="B596" s="1">
        <v>45239</v>
      </c>
      <c r="C596" s="2" t="s">
        <v>12</v>
      </c>
      <c r="D596" s="2" t="s">
        <v>623</v>
      </c>
      <c r="E596" s="2" t="s">
        <v>18</v>
      </c>
      <c r="F596">
        <v>18</v>
      </c>
      <c r="G596" s="2" t="s">
        <v>19</v>
      </c>
      <c r="H596">
        <v>4</v>
      </c>
      <c r="I596">
        <v>500</v>
      </c>
      <c r="J596">
        <v>2000</v>
      </c>
      <c r="K596">
        <v>2000</v>
      </c>
      <c r="L596">
        <v>2023</v>
      </c>
      <c r="M596">
        <v>476</v>
      </c>
      <c r="N596">
        <v>45167</v>
      </c>
      <c r="O596" t="str">
        <v>August</v>
      </c>
      <c r="P596" t="str">
        <v>CUST476</v>
      </c>
      <c r="Q596" t="str">
        <v>Female</v>
      </c>
      <c r="R596">
        <v>27</v>
      </c>
      <c r="S596" t="str">
        <v>Clothing</v>
      </c>
      <c r="T596">
        <v>4</v>
      </c>
      <c r="U596">
        <v>500</v>
      </c>
      <c r="V596">
        <v>2000</v>
      </c>
      <c r="W596">
        <v>2000</v>
      </c>
      <c r="X596">
        <v>2023</v>
      </c>
    </row>
    <row r="597" spans="1:24" x14ac:dyDescent="0.35">
      <c r="A597">
        <v>596</v>
      </c>
      <c r="B597" s="1">
        <v>44964</v>
      </c>
      <c r="C597" s="2" t="s">
        <v>16</v>
      </c>
      <c r="D597" s="2" t="s">
        <v>624</v>
      </c>
      <c r="E597" s="2" t="s">
        <v>18</v>
      </c>
      <c r="F597">
        <v>64</v>
      </c>
      <c r="G597" s="2" t="s">
        <v>22</v>
      </c>
      <c r="H597">
        <v>1</v>
      </c>
      <c r="I597">
        <v>300</v>
      </c>
      <c r="J597">
        <v>300</v>
      </c>
      <c r="K597">
        <v>300</v>
      </c>
      <c r="L597">
        <v>2023</v>
      </c>
      <c r="M597">
        <v>477</v>
      </c>
      <c r="N597">
        <v>45040</v>
      </c>
      <c r="O597" t="str">
        <v>April</v>
      </c>
      <c r="P597" t="str">
        <v>CUST477</v>
      </c>
      <c r="Q597" t="str">
        <v>Male</v>
      </c>
      <c r="R597">
        <v>43</v>
      </c>
      <c r="S597" t="str">
        <v>Clothing</v>
      </c>
      <c r="T597">
        <v>4</v>
      </c>
      <c r="U597">
        <v>30</v>
      </c>
      <c r="V597">
        <v>120</v>
      </c>
      <c r="W597">
        <v>120</v>
      </c>
      <c r="X597">
        <v>2023</v>
      </c>
    </row>
    <row r="598" spans="1:24" x14ac:dyDescent="0.35">
      <c r="A598">
        <v>597</v>
      </c>
      <c r="B598" s="1">
        <v>45160</v>
      </c>
      <c r="C598" s="2" t="s">
        <v>37</v>
      </c>
      <c r="D598" s="2" t="s">
        <v>625</v>
      </c>
      <c r="E598" s="2" t="s">
        <v>14</v>
      </c>
      <c r="F598">
        <v>22</v>
      </c>
      <c r="G598" s="2" t="s">
        <v>15</v>
      </c>
      <c r="H598">
        <v>4</v>
      </c>
      <c r="I598">
        <v>300</v>
      </c>
      <c r="J598">
        <v>1200</v>
      </c>
      <c r="K598">
        <v>1200</v>
      </c>
      <c r="L598">
        <v>2023</v>
      </c>
      <c r="M598">
        <v>478</v>
      </c>
      <c r="N598">
        <v>45029</v>
      </c>
      <c r="O598" t="str">
        <v>April</v>
      </c>
      <c r="P598" t="str">
        <v>CUST478</v>
      </c>
      <c r="Q598" t="str">
        <v>Female</v>
      </c>
      <c r="R598">
        <v>58</v>
      </c>
      <c r="S598" t="str">
        <v>Clothing</v>
      </c>
      <c r="T598">
        <v>2</v>
      </c>
      <c r="U598">
        <v>30</v>
      </c>
      <c r="V598">
        <v>60</v>
      </c>
      <c r="W598">
        <v>60</v>
      </c>
      <c r="X598">
        <v>2023</v>
      </c>
    </row>
    <row r="599" spans="1:24" x14ac:dyDescent="0.35">
      <c r="A599">
        <v>598</v>
      </c>
      <c r="B599" s="1">
        <v>45139</v>
      </c>
      <c r="C599" s="2" t="s">
        <v>37</v>
      </c>
      <c r="D599" s="2" t="s">
        <v>626</v>
      </c>
      <c r="E599" s="2" t="s">
        <v>14</v>
      </c>
      <c r="F599">
        <v>37</v>
      </c>
      <c r="G599" s="2" t="s">
        <v>15</v>
      </c>
      <c r="H599">
        <v>4</v>
      </c>
      <c r="I599">
        <v>30</v>
      </c>
      <c r="J599">
        <v>120</v>
      </c>
      <c r="K599">
        <v>120</v>
      </c>
      <c r="L599">
        <v>2023</v>
      </c>
      <c r="M599">
        <v>479</v>
      </c>
      <c r="N599">
        <v>45162</v>
      </c>
      <c r="O599" t="str">
        <v>August</v>
      </c>
      <c r="P599" t="str">
        <v>CUST479</v>
      </c>
      <c r="Q599" t="str">
        <v>Male</v>
      </c>
      <c r="R599">
        <v>52</v>
      </c>
      <c r="S599" t="str">
        <v>Electronics</v>
      </c>
      <c r="T599">
        <v>4</v>
      </c>
      <c r="U599">
        <v>300</v>
      </c>
      <c r="V599">
        <v>1200</v>
      </c>
      <c r="W599">
        <v>1200</v>
      </c>
      <c r="X599">
        <v>2023</v>
      </c>
    </row>
    <row r="600" spans="1:24" x14ac:dyDescent="0.35">
      <c r="A600">
        <v>599</v>
      </c>
      <c r="B600" s="1">
        <v>45249</v>
      </c>
      <c r="C600" s="2" t="s">
        <v>12</v>
      </c>
      <c r="D600" s="2" t="s">
        <v>627</v>
      </c>
      <c r="E600" s="2" t="s">
        <v>18</v>
      </c>
      <c r="F600">
        <v>28</v>
      </c>
      <c r="G600" s="2" t="s">
        <v>15</v>
      </c>
      <c r="H600">
        <v>2</v>
      </c>
      <c r="I600">
        <v>50</v>
      </c>
      <c r="J600">
        <v>100</v>
      </c>
      <c r="K600">
        <v>100</v>
      </c>
      <c r="L600">
        <v>2023</v>
      </c>
      <c r="M600">
        <v>480</v>
      </c>
      <c r="N600">
        <v>45106</v>
      </c>
      <c r="O600" t="str">
        <v>June</v>
      </c>
      <c r="P600" t="str">
        <v>CUST480</v>
      </c>
      <c r="Q600" t="str">
        <v>Female</v>
      </c>
      <c r="R600">
        <v>42</v>
      </c>
      <c r="S600" t="str">
        <v>Beauty</v>
      </c>
      <c r="T600">
        <v>4</v>
      </c>
      <c r="U600">
        <v>500</v>
      </c>
      <c r="V600">
        <v>2000</v>
      </c>
      <c r="W600">
        <v>2000</v>
      </c>
      <c r="X600">
        <v>2023</v>
      </c>
    </row>
    <row r="601" spans="1:24" x14ac:dyDescent="0.35">
      <c r="A601">
        <v>600</v>
      </c>
      <c r="B601" s="1">
        <v>45221</v>
      </c>
      <c r="C601" s="2" t="s">
        <v>33</v>
      </c>
      <c r="D601" s="2" t="s">
        <v>628</v>
      </c>
      <c r="E601" s="2" t="s">
        <v>18</v>
      </c>
      <c r="F601">
        <v>59</v>
      </c>
      <c r="G601" s="2" t="s">
        <v>15</v>
      </c>
      <c r="H601">
        <v>2</v>
      </c>
      <c r="I601">
        <v>500</v>
      </c>
      <c r="J601">
        <v>1000</v>
      </c>
      <c r="K601">
        <v>1000</v>
      </c>
      <c r="L601">
        <v>2023</v>
      </c>
      <c r="M601">
        <v>481</v>
      </c>
      <c r="N601">
        <v>45083</v>
      </c>
      <c r="O601" t="str">
        <v>June</v>
      </c>
      <c r="P601" t="str">
        <v>CUST481</v>
      </c>
      <c r="Q601" t="str">
        <v>Female</v>
      </c>
      <c r="R601">
        <v>43</v>
      </c>
      <c r="S601" t="str">
        <v>Electronics</v>
      </c>
      <c r="T601">
        <v>4</v>
      </c>
      <c r="U601">
        <v>300</v>
      </c>
      <c r="V601">
        <v>1200</v>
      </c>
      <c r="W601">
        <v>1200</v>
      </c>
      <c r="X601">
        <v>2023</v>
      </c>
    </row>
    <row r="602" spans="1:24" x14ac:dyDescent="0.35">
      <c r="A602">
        <v>601</v>
      </c>
      <c r="B602" s="1">
        <v>45026</v>
      </c>
      <c r="C602" s="2" t="s">
        <v>26</v>
      </c>
      <c r="D602" s="2" t="s">
        <v>629</v>
      </c>
      <c r="E602" s="2" t="s">
        <v>14</v>
      </c>
      <c r="F602">
        <v>19</v>
      </c>
      <c r="G602" s="2" t="s">
        <v>19</v>
      </c>
      <c r="H602">
        <v>1</v>
      </c>
      <c r="I602">
        <v>30</v>
      </c>
      <c r="J602">
        <v>30</v>
      </c>
      <c r="K602">
        <v>30</v>
      </c>
      <c r="L602">
        <v>2023</v>
      </c>
      <c r="M602">
        <v>482</v>
      </c>
      <c r="N602">
        <v>45043</v>
      </c>
      <c r="O602" t="str">
        <v>April</v>
      </c>
      <c r="P602" t="str">
        <v>CUST482</v>
      </c>
      <c r="Q602" t="str">
        <v>Female</v>
      </c>
      <c r="R602">
        <v>28</v>
      </c>
      <c r="S602" t="str">
        <v>Clothing</v>
      </c>
      <c r="T602">
        <v>4</v>
      </c>
      <c r="U602">
        <v>300</v>
      </c>
      <c r="V602">
        <v>1200</v>
      </c>
      <c r="W602">
        <v>1200</v>
      </c>
      <c r="X602">
        <v>2023</v>
      </c>
    </row>
    <row r="603" spans="1:24" x14ac:dyDescent="0.35">
      <c r="A603">
        <v>602</v>
      </c>
      <c r="B603" s="1">
        <v>45283</v>
      </c>
      <c r="C603" s="2" t="s">
        <v>31</v>
      </c>
      <c r="D603" s="2" t="s">
        <v>630</v>
      </c>
      <c r="E603" s="2" t="s">
        <v>18</v>
      </c>
      <c r="F603">
        <v>20</v>
      </c>
      <c r="G603" s="2" t="s">
        <v>22</v>
      </c>
      <c r="H603">
        <v>1</v>
      </c>
      <c r="I603">
        <v>300</v>
      </c>
      <c r="J603">
        <v>300</v>
      </c>
      <c r="K603">
        <v>300</v>
      </c>
      <c r="L603">
        <v>2023</v>
      </c>
      <c r="M603">
        <v>483</v>
      </c>
      <c r="N603">
        <v>45041</v>
      </c>
      <c r="O603" t="str">
        <v>April</v>
      </c>
      <c r="P603" t="str">
        <v>CUST483</v>
      </c>
      <c r="Q603" t="str">
        <v>Male</v>
      </c>
      <c r="R603">
        <v>55</v>
      </c>
      <c r="S603" t="str">
        <v>Clothing</v>
      </c>
      <c r="T603">
        <v>1</v>
      </c>
      <c r="U603">
        <v>30</v>
      </c>
      <c r="V603">
        <v>30</v>
      </c>
      <c r="W603">
        <v>30</v>
      </c>
      <c r="X603">
        <v>2023</v>
      </c>
    </row>
    <row r="604" spans="1:24" x14ac:dyDescent="0.35">
      <c r="A604">
        <v>603</v>
      </c>
      <c r="B604" s="1">
        <v>45123</v>
      </c>
      <c r="C604" s="2" t="s">
        <v>70</v>
      </c>
      <c r="D604" s="2" t="s">
        <v>631</v>
      </c>
      <c r="E604" s="2" t="s">
        <v>18</v>
      </c>
      <c r="F604">
        <v>40</v>
      </c>
      <c r="G604" s="2" t="s">
        <v>19</v>
      </c>
      <c r="H604">
        <v>3</v>
      </c>
      <c r="I604">
        <v>30</v>
      </c>
      <c r="J604">
        <v>90</v>
      </c>
      <c r="K604">
        <v>90</v>
      </c>
      <c r="L604">
        <v>2023</v>
      </c>
      <c r="M604">
        <v>484</v>
      </c>
      <c r="N604">
        <v>44939</v>
      </c>
      <c r="O604" t="str">
        <v>January</v>
      </c>
      <c r="P604" t="str">
        <v>CUST484</v>
      </c>
      <c r="Q604" t="str">
        <v>Female</v>
      </c>
      <c r="R604">
        <v>19</v>
      </c>
      <c r="S604" t="str">
        <v>Clothing</v>
      </c>
      <c r="T604">
        <v>4</v>
      </c>
      <c r="U604">
        <v>300</v>
      </c>
      <c r="V604">
        <v>1200</v>
      </c>
      <c r="W604">
        <v>1200</v>
      </c>
      <c r="X604">
        <v>2023</v>
      </c>
    </row>
    <row r="605" spans="1:24" x14ac:dyDescent="0.35">
      <c r="A605">
        <v>604</v>
      </c>
      <c r="B605" s="1">
        <v>45180</v>
      </c>
      <c r="C605" s="2" t="s">
        <v>44</v>
      </c>
      <c r="D605" s="2" t="s">
        <v>632</v>
      </c>
      <c r="E605" s="2" t="s">
        <v>18</v>
      </c>
      <c r="F605">
        <v>29</v>
      </c>
      <c r="G605" s="2" t="s">
        <v>22</v>
      </c>
      <c r="H605">
        <v>4</v>
      </c>
      <c r="I605">
        <v>50</v>
      </c>
      <c r="J605">
        <v>200</v>
      </c>
      <c r="K605">
        <v>200</v>
      </c>
      <c r="L605">
        <v>2023</v>
      </c>
      <c r="M605">
        <v>485</v>
      </c>
      <c r="N605">
        <v>45264</v>
      </c>
      <c r="O605" t="str">
        <v>December</v>
      </c>
      <c r="P605" t="str">
        <v>CUST485</v>
      </c>
      <c r="Q605" t="str">
        <v>Male</v>
      </c>
      <c r="R605">
        <v>24</v>
      </c>
      <c r="S605" t="str">
        <v>Electronics</v>
      </c>
      <c r="T605">
        <v>1</v>
      </c>
      <c r="U605">
        <v>30</v>
      </c>
      <c r="V605">
        <v>30</v>
      </c>
      <c r="W605">
        <v>30</v>
      </c>
      <c r="X605">
        <v>2023</v>
      </c>
    </row>
    <row r="606" spans="1:24" x14ac:dyDescent="0.35">
      <c r="A606">
        <v>605</v>
      </c>
      <c r="B606" s="1">
        <v>45131</v>
      </c>
      <c r="C606" s="2" t="s">
        <v>70</v>
      </c>
      <c r="D606" s="2" t="s">
        <v>633</v>
      </c>
      <c r="E606" s="2" t="s">
        <v>14</v>
      </c>
      <c r="F606">
        <v>37</v>
      </c>
      <c r="G606" s="2" t="s">
        <v>22</v>
      </c>
      <c r="H606">
        <v>2</v>
      </c>
      <c r="I606">
        <v>500</v>
      </c>
      <c r="J606">
        <v>1000</v>
      </c>
      <c r="K606">
        <v>1000</v>
      </c>
      <c r="L606">
        <v>2023</v>
      </c>
      <c r="M606">
        <v>486</v>
      </c>
      <c r="N606">
        <v>45025</v>
      </c>
      <c r="O606" t="str">
        <v>April</v>
      </c>
      <c r="P606" t="str">
        <v>CUST486</v>
      </c>
      <c r="Q606" t="str">
        <v>Female</v>
      </c>
      <c r="R606">
        <v>35</v>
      </c>
      <c r="S606" t="str">
        <v>Electronics</v>
      </c>
      <c r="T606">
        <v>1</v>
      </c>
      <c r="U606">
        <v>25</v>
      </c>
      <c r="V606">
        <v>25</v>
      </c>
      <c r="W606">
        <v>25</v>
      </c>
      <c r="X606">
        <v>2023</v>
      </c>
    </row>
    <row r="607" spans="1:24" x14ac:dyDescent="0.35">
      <c r="A607">
        <v>606</v>
      </c>
      <c r="B607" s="1">
        <v>45051</v>
      </c>
      <c r="C607" s="2" t="s">
        <v>23</v>
      </c>
      <c r="D607" s="2" t="s">
        <v>634</v>
      </c>
      <c r="E607" s="2" t="s">
        <v>14</v>
      </c>
      <c r="F607">
        <v>22</v>
      </c>
      <c r="G607" s="2" t="s">
        <v>22</v>
      </c>
      <c r="H607">
        <v>1</v>
      </c>
      <c r="I607">
        <v>50</v>
      </c>
      <c r="J607">
        <v>50</v>
      </c>
      <c r="K607">
        <v>50</v>
      </c>
      <c r="L607">
        <v>2023</v>
      </c>
      <c r="M607">
        <v>487</v>
      </c>
      <c r="N607">
        <v>45131</v>
      </c>
      <c r="O607" t="str">
        <v>July</v>
      </c>
      <c r="P607" t="str">
        <v>CUST487</v>
      </c>
      <c r="Q607" t="str">
        <v>Male</v>
      </c>
      <c r="R607">
        <v>44</v>
      </c>
      <c r="S607" t="str">
        <v>Clothing</v>
      </c>
      <c r="T607">
        <v>4</v>
      </c>
      <c r="U607">
        <v>500</v>
      </c>
      <c r="V607">
        <v>2000</v>
      </c>
      <c r="W607">
        <v>2000</v>
      </c>
      <c r="X607">
        <v>2023</v>
      </c>
    </row>
    <row r="608" spans="1:24" x14ac:dyDescent="0.35">
      <c r="A608">
        <v>607</v>
      </c>
      <c r="B608" s="1">
        <v>45002</v>
      </c>
      <c r="C608" s="2" t="s">
        <v>28</v>
      </c>
      <c r="D608" s="2" t="s">
        <v>635</v>
      </c>
      <c r="E608" s="2" t="s">
        <v>14</v>
      </c>
      <c r="F608">
        <v>54</v>
      </c>
      <c r="G608" s="2" t="s">
        <v>19</v>
      </c>
      <c r="H608">
        <v>3</v>
      </c>
      <c r="I608">
        <v>25</v>
      </c>
      <c r="J608">
        <v>75</v>
      </c>
      <c r="K608">
        <v>75</v>
      </c>
      <c r="L608">
        <v>2023</v>
      </c>
      <c r="M608">
        <v>488</v>
      </c>
      <c r="N608">
        <v>45095</v>
      </c>
      <c r="O608" t="str">
        <v>June</v>
      </c>
      <c r="P608" t="str">
        <v>CUST488</v>
      </c>
      <c r="Q608" t="str">
        <v>Female</v>
      </c>
      <c r="R608">
        <v>51</v>
      </c>
      <c r="S608" t="str">
        <v>Electronics</v>
      </c>
      <c r="T608">
        <v>3</v>
      </c>
      <c r="U608">
        <v>300</v>
      </c>
      <c r="V608">
        <v>900</v>
      </c>
      <c r="W608">
        <v>900</v>
      </c>
      <c r="X608">
        <v>2023</v>
      </c>
    </row>
    <row r="609" spans="1:24" x14ac:dyDescent="0.35">
      <c r="A609">
        <v>608</v>
      </c>
      <c r="B609" s="1">
        <v>45262</v>
      </c>
      <c r="C609" s="2" t="s">
        <v>31</v>
      </c>
      <c r="D609" s="2" t="s">
        <v>636</v>
      </c>
      <c r="E609" s="2" t="s">
        <v>18</v>
      </c>
      <c r="F609">
        <v>55</v>
      </c>
      <c r="G609" s="2" t="s">
        <v>22</v>
      </c>
      <c r="H609">
        <v>3</v>
      </c>
      <c r="I609">
        <v>500</v>
      </c>
      <c r="J609">
        <v>1500</v>
      </c>
      <c r="K609">
        <v>1500</v>
      </c>
      <c r="L609">
        <v>2023</v>
      </c>
      <c r="M609">
        <v>489</v>
      </c>
      <c r="N609">
        <v>45069</v>
      </c>
      <c r="O609" t="str">
        <v>May</v>
      </c>
      <c r="P609" t="str">
        <v>CUST489</v>
      </c>
      <c r="Q609" t="str">
        <v>Male</v>
      </c>
      <c r="R609">
        <v>44</v>
      </c>
      <c r="S609" t="str">
        <v>Electronics</v>
      </c>
      <c r="T609">
        <v>1</v>
      </c>
      <c r="U609">
        <v>30</v>
      </c>
      <c r="V609">
        <v>30</v>
      </c>
      <c r="W609">
        <v>30</v>
      </c>
      <c r="X609">
        <v>2023</v>
      </c>
    </row>
    <row r="610" spans="1:24" x14ac:dyDescent="0.35">
      <c r="A610">
        <v>609</v>
      </c>
      <c r="B610" s="1">
        <v>45279</v>
      </c>
      <c r="C610" s="2" t="s">
        <v>31</v>
      </c>
      <c r="D610" s="2" t="s">
        <v>637</v>
      </c>
      <c r="E610" s="2" t="s">
        <v>18</v>
      </c>
      <c r="F610">
        <v>47</v>
      </c>
      <c r="G610" s="2" t="s">
        <v>19</v>
      </c>
      <c r="H610">
        <v>2</v>
      </c>
      <c r="I610">
        <v>50</v>
      </c>
      <c r="J610">
        <v>100</v>
      </c>
      <c r="K610">
        <v>100</v>
      </c>
      <c r="L610">
        <v>2023</v>
      </c>
      <c r="M610">
        <v>490</v>
      </c>
      <c r="N610">
        <v>44962</v>
      </c>
      <c r="O610" t="str">
        <v>February</v>
      </c>
      <c r="P610" t="str">
        <v>CUST490</v>
      </c>
      <c r="Q610" t="str">
        <v>Male</v>
      </c>
      <c r="R610">
        <v>34</v>
      </c>
      <c r="S610" t="str">
        <v>Clothing</v>
      </c>
      <c r="T610">
        <v>3</v>
      </c>
      <c r="U610">
        <v>50</v>
      </c>
      <c r="V610">
        <v>150</v>
      </c>
      <c r="W610">
        <v>150</v>
      </c>
      <c r="X610">
        <v>2023</v>
      </c>
    </row>
    <row r="611" spans="1:24" x14ac:dyDescent="0.35">
      <c r="A611">
        <v>610</v>
      </c>
      <c r="B611" s="1">
        <v>44929</v>
      </c>
      <c r="C611" s="2" t="s">
        <v>20</v>
      </c>
      <c r="D611" s="2" t="s">
        <v>638</v>
      </c>
      <c r="E611" s="2" t="s">
        <v>18</v>
      </c>
      <c r="F611">
        <v>26</v>
      </c>
      <c r="G611" s="2" t="s">
        <v>15</v>
      </c>
      <c r="H611">
        <v>2</v>
      </c>
      <c r="I611">
        <v>300</v>
      </c>
      <c r="J611">
        <v>600</v>
      </c>
      <c r="K611">
        <v>600</v>
      </c>
      <c r="L611">
        <v>2023</v>
      </c>
      <c r="M611">
        <v>491</v>
      </c>
      <c r="N611">
        <v>45069</v>
      </c>
      <c r="O611" t="str">
        <v>May</v>
      </c>
      <c r="P611" t="str">
        <v>CUST491</v>
      </c>
      <c r="Q611" t="str">
        <v>Female</v>
      </c>
      <c r="R611">
        <v>60</v>
      </c>
      <c r="S611" t="str">
        <v>Electronics</v>
      </c>
      <c r="T611">
        <v>3</v>
      </c>
      <c r="U611">
        <v>300</v>
      </c>
      <c r="V611">
        <v>900</v>
      </c>
      <c r="W611">
        <v>900</v>
      </c>
      <c r="X611">
        <v>2023</v>
      </c>
    </row>
    <row r="612" spans="1:24" x14ac:dyDescent="0.35">
      <c r="A612">
        <v>611</v>
      </c>
      <c r="B612" s="1">
        <v>44981</v>
      </c>
      <c r="C612" s="2" t="s">
        <v>16</v>
      </c>
      <c r="D612" s="2" t="s">
        <v>639</v>
      </c>
      <c r="E612" s="2" t="s">
        <v>14</v>
      </c>
      <c r="F612">
        <v>51</v>
      </c>
      <c r="G612" s="2" t="s">
        <v>15</v>
      </c>
      <c r="H612">
        <v>3</v>
      </c>
      <c r="I612">
        <v>500</v>
      </c>
      <c r="J612">
        <v>1500</v>
      </c>
      <c r="K612">
        <v>1500</v>
      </c>
      <c r="L612">
        <v>2023</v>
      </c>
      <c r="M612">
        <v>492</v>
      </c>
      <c r="N612">
        <v>45106</v>
      </c>
      <c r="O612" t="str">
        <v>June</v>
      </c>
      <c r="P612" t="str">
        <v>CUST492</v>
      </c>
      <c r="Q612" t="str">
        <v>Male</v>
      </c>
      <c r="R612">
        <v>61</v>
      </c>
      <c r="S612" t="str">
        <v>Beauty</v>
      </c>
      <c r="T612">
        <v>4</v>
      </c>
      <c r="U612">
        <v>25</v>
      </c>
      <c r="V612">
        <v>100</v>
      </c>
      <c r="W612">
        <v>100</v>
      </c>
      <c r="X612">
        <v>2023</v>
      </c>
    </row>
    <row r="613" spans="1:24" x14ac:dyDescent="0.35">
      <c r="A613">
        <v>612</v>
      </c>
      <c r="B613" s="1">
        <v>45144</v>
      </c>
      <c r="C613" s="2" t="s">
        <v>37</v>
      </c>
      <c r="D613" s="2" t="s">
        <v>640</v>
      </c>
      <c r="E613" s="2" t="s">
        <v>18</v>
      </c>
      <c r="F613">
        <v>61</v>
      </c>
      <c r="G613" s="2" t="s">
        <v>22</v>
      </c>
      <c r="H613">
        <v>1</v>
      </c>
      <c r="I613">
        <v>500</v>
      </c>
      <c r="J613">
        <v>500</v>
      </c>
      <c r="K613">
        <v>500</v>
      </c>
      <c r="L613">
        <v>2023</v>
      </c>
      <c r="M613">
        <v>493</v>
      </c>
      <c r="N613">
        <v>45255</v>
      </c>
      <c r="O613" t="str">
        <v>November</v>
      </c>
      <c r="P613" t="str">
        <v>CUST493</v>
      </c>
      <c r="Q613" t="str">
        <v>Male</v>
      </c>
      <c r="R613">
        <v>41</v>
      </c>
      <c r="S613" t="str">
        <v>Beauty</v>
      </c>
      <c r="T613">
        <v>2</v>
      </c>
      <c r="U613">
        <v>25</v>
      </c>
      <c r="V613">
        <v>50</v>
      </c>
      <c r="W613">
        <v>50</v>
      </c>
      <c r="X613">
        <v>2023</v>
      </c>
    </row>
    <row r="614" spans="1:24" x14ac:dyDescent="0.35">
      <c r="A614">
        <v>613</v>
      </c>
      <c r="B614" s="1">
        <v>45039</v>
      </c>
      <c r="C614" s="2" t="s">
        <v>26</v>
      </c>
      <c r="D614" s="2" t="s">
        <v>641</v>
      </c>
      <c r="E614" s="2" t="s">
        <v>18</v>
      </c>
      <c r="F614">
        <v>52</v>
      </c>
      <c r="G614" s="2" t="s">
        <v>19</v>
      </c>
      <c r="H614">
        <v>3</v>
      </c>
      <c r="I614">
        <v>30</v>
      </c>
      <c r="J614">
        <v>90</v>
      </c>
      <c r="K614">
        <v>90</v>
      </c>
      <c r="L614">
        <v>2023</v>
      </c>
      <c r="M614">
        <v>494</v>
      </c>
      <c r="N614">
        <v>45187</v>
      </c>
      <c r="O614" t="str">
        <v>September</v>
      </c>
      <c r="P614" t="str">
        <v>CUST494</v>
      </c>
      <c r="Q614" t="str">
        <v>Female</v>
      </c>
      <c r="R614">
        <v>42</v>
      </c>
      <c r="S614" t="str">
        <v>Beauty</v>
      </c>
      <c r="T614">
        <v>4</v>
      </c>
      <c r="U614">
        <v>50</v>
      </c>
      <c r="V614">
        <v>200</v>
      </c>
      <c r="W614">
        <v>200</v>
      </c>
      <c r="X614">
        <v>2023</v>
      </c>
    </row>
    <row r="615" spans="1:24" x14ac:dyDescent="0.35">
      <c r="A615">
        <v>614</v>
      </c>
      <c r="B615" s="1">
        <v>45017</v>
      </c>
      <c r="C615" s="2" t="s">
        <v>26</v>
      </c>
      <c r="D615" s="2" t="s">
        <v>642</v>
      </c>
      <c r="E615" s="2" t="s">
        <v>18</v>
      </c>
      <c r="F615">
        <v>39</v>
      </c>
      <c r="G615" s="2" t="s">
        <v>15</v>
      </c>
      <c r="H615">
        <v>4</v>
      </c>
      <c r="I615">
        <v>300</v>
      </c>
      <c r="J615">
        <v>1200</v>
      </c>
      <c r="K615">
        <v>1200</v>
      </c>
      <c r="L615">
        <v>2023</v>
      </c>
      <c r="M615">
        <v>495</v>
      </c>
      <c r="N615">
        <v>45131</v>
      </c>
      <c r="O615" t="str">
        <v>July</v>
      </c>
      <c r="P615" t="str">
        <v>CUST495</v>
      </c>
      <c r="Q615" t="str">
        <v>Male</v>
      </c>
      <c r="R615">
        <v>24</v>
      </c>
      <c r="S615" t="str">
        <v>Beauty</v>
      </c>
      <c r="T615">
        <v>2</v>
      </c>
      <c r="U615">
        <v>30</v>
      </c>
      <c r="V615">
        <v>60</v>
      </c>
      <c r="W615">
        <v>60</v>
      </c>
      <c r="X615">
        <v>2023</v>
      </c>
    </row>
    <row r="616" spans="1:24" x14ac:dyDescent="0.35">
      <c r="A616">
        <v>615</v>
      </c>
      <c r="B616" s="1">
        <v>45283</v>
      </c>
      <c r="C616" s="2" t="s">
        <v>31</v>
      </c>
      <c r="D616" s="2" t="s">
        <v>643</v>
      </c>
      <c r="E616" s="2" t="s">
        <v>18</v>
      </c>
      <c r="F616">
        <v>61</v>
      </c>
      <c r="G616" s="2" t="s">
        <v>19</v>
      </c>
      <c r="H616">
        <v>4</v>
      </c>
      <c r="I616">
        <v>25</v>
      </c>
      <c r="J616">
        <v>100</v>
      </c>
      <c r="K616">
        <v>100</v>
      </c>
      <c r="L616">
        <v>2023</v>
      </c>
      <c r="M616">
        <v>496</v>
      </c>
      <c r="N616">
        <v>45274</v>
      </c>
      <c r="O616" t="str">
        <v>December</v>
      </c>
      <c r="P616" t="str">
        <v>CUST496</v>
      </c>
      <c r="Q616" t="str">
        <v>Male</v>
      </c>
      <c r="R616">
        <v>23</v>
      </c>
      <c r="S616" t="str">
        <v>Clothing</v>
      </c>
      <c r="T616">
        <v>2</v>
      </c>
      <c r="U616">
        <v>300</v>
      </c>
      <c r="V616">
        <v>600</v>
      </c>
      <c r="W616">
        <v>600</v>
      </c>
      <c r="X616">
        <v>2023</v>
      </c>
    </row>
    <row r="617" spans="1:24" x14ac:dyDescent="0.35">
      <c r="A617">
        <v>616</v>
      </c>
      <c r="B617" s="1">
        <v>45192</v>
      </c>
      <c r="C617" s="2" t="s">
        <v>44</v>
      </c>
      <c r="D617" s="2" t="s">
        <v>644</v>
      </c>
      <c r="E617" s="2" t="s">
        <v>14</v>
      </c>
      <c r="F617">
        <v>41</v>
      </c>
      <c r="G617" s="2" t="s">
        <v>19</v>
      </c>
      <c r="H617">
        <v>2</v>
      </c>
      <c r="I617">
        <v>50</v>
      </c>
      <c r="J617">
        <v>100</v>
      </c>
      <c r="K617">
        <v>100</v>
      </c>
      <c r="L617">
        <v>2023</v>
      </c>
      <c r="M617">
        <v>497</v>
      </c>
      <c r="N617">
        <v>45201</v>
      </c>
      <c r="O617" t="str">
        <v>October</v>
      </c>
      <c r="P617" t="str">
        <v>CUST497</v>
      </c>
      <c r="Q617" t="str">
        <v>Male</v>
      </c>
      <c r="R617">
        <v>41</v>
      </c>
      <c r="S617" t="str">
        <v>Clothing</v>
      </c>
      <c r="T617">
        <v>4</v>
      </c>
      <c r="U617">
        <v>30</v>
      </c>
      <c r="V617">
        <v>120</v>
      </c>
      <c r="W617">
        <v>120</v>
      </c>
      <c r="X617">
        <v>2023</v>
      </c>
    </row>
    <row r="618" spans="1:24" x14ac:dyDescent="0.35">
      <c r="A618">
        <v>617</v>
      </c>
      <c r="B618" s="1">
        <v>45164</v>
      </c>
      <c r="C618" s="2" t="s">
        <v>37</v>
      </c>
      <c r="D618" s="2" t="s">
        <v>645</v>
      </c>
      <c r="E618" s="2" t="s">
        <v>14</v>
      </c>
      <c r="F618">
        <v>34</v>
      </c>
      <c r="G618" s="2" t="s">
        <v>22</v>
      </c>
      <c r="H618">
        <v>1</v>
      </c>
      <c r="I618">
        <v>30</v>
      </c>
      <c r="J618">
        <v>30</v>
      </c>
      <c r="K618">
        <v>30</v>
      </c>
      <c r="L618">
        <v>2023</v>
      </c>
      <c r="M618">
        <v>498</v>
      </c>
      <c r="N618">
        <v>45096</v>
      </c>
      <c r="O618" t="str">
        <v>June</v>
      </c>
      <c r="P618" t="str">
        <v>CUST498</v>
      </c>
      <c r="Q618" t="str">
        <v>Female</v>
      </c>
      <c r="R618">
        <v>50</v>
      </c>
      <c r="S618" t="str">
        <v>Clothing</v>
      </c>
      <c r="T618">
        <v>4</v>
      </c>
      <c r="U618">
        <v>25</v>
      </c>
      <c r="V618">
        <v>100</v>
      </c>
      <c r="W618">
        <v>100</v>
      </c>
      <c r="X618">
        <v>2023</v>
      </c>
    </row>
    <row r="619" spans="1:24" x14ac:dyDescent="0.35">
      <c r="A619">
        <v>618</v>
      </c>
      <c r="B619" s="1">
        <v>44952</v>
      </c>
      <c r="C619" s="2" t="s">
        <v>20</v>
      </c>
      <c r="D619" s="2" t="s">
        <v>646</v>
      </c>
      <c r="E619" s="2" t="s">
        <v>18</v>
      </c>
      <c r="F619">
        <v>27</v>
      </c>
      <c r="G619" s="2" t="s">
        <v>15</v>
      </c>
      <c r="H619">
        <v>1</v>
      </c>
      <c r="I619">
        <v>50</v>
      </c>
      <c r="J619">
        <v>50</v>
      </c>
      <c r="K619">
        <v>50</v>
      </c>
      <c r="L619">
        <v>2023</v>
      </c>
      <c r="M619">
        <v>499</v>
      </c>
      <c r="N619">
        <v>44941</v>
      </c>
      <c r="O619" t="str">
        <v>January</v>
      </c>
      <c r="P619" t="str">
        <v>CUST499</v>
      </c>
      <c r="Q619" t="str">
        <v>Male</v>
      </c>
      <c r="R619">
        <v>46</v>
      </c>
      <c r="S619" t="str">
        <v>Beauty</v>
      </c>
      <c r="T619">
        <v>2</v>
      </c>
      <c r="U619">
        <v>30</v>
      </c>
      <c r="V619">
        <v>60</v>
      </c>
      <c r="W619">
        <v>60</v>
      </c>
      <c r="X619">
        <v>2023</v>
      </c>
    </row>
    <row r="620" spans="1:24" x14ac:dyDescent="0.35">
      <c r="A620">
        <v>619</v>
      </c>
      <c r="B620" s="1">
        <v>45212</v>
      </c>
      <c r="C620" s="2" t="s">
        <v>33</v>
      </c>
      <c r="D620" s="2" t="s">
        <v>647</v>
      </c>
      <c r="E620" s="2" t="s">
        <v>14</v>
      </c>
      <c r="F620">
        <v>47</v>
      </c>
      <c r="G620" s="2" t="s">
        <v>22</v>
      </c>
      <c r="H620">
        <v>4</v>
      </c>
      <c r="I620">
        <v>25</v>
      </c>
      <c r="J620">
        <v>100</v>
      </c>
      <c r="K620">
        <v>100</v>
      </c>
      <c r="L620">
        <v>2023</v>
      </c>
      <c r="M620">
        <v>500</v>
      </c>
      <c r="N620">
        <v>44986</v>
      </c>
      <c r="O620" t="str">
        <v>March</v>
      </c>
      <c r="P620" t="str">
        <v>CUST500</v>
      </c>
      <c r="Q620" t="str">
        <v>Female</v>
      </c>
      <c r="R620">
        <v>60</v>
      </c>
      <c r="S620" t="str">
        <v>Beauty</v>
      </c>
      <c r="T620">
        <v>4</v>
      </c>
      <c r="U620">
        <v>25</v>
      </c>
      <c r="V620">
        <v>100</v>
      </c>
      <c r="W620">
        <v>100</v>
      </c>
      <c r="X620">
        <v>2023</v>
      </c>
    </row>
    <row r="621" spans="1:24" x14ac:dyDescent="0.35">
      <c r="A621">
        <v>620</v>
      </c>
      <c r="B621" s="1">
        <v>45054</v>
      </c>
      <c r="C621" s="2" t="s">
        <v>23</v>
      </c>
      <c r="D621" s="2" t="s">
        <v>648</v>
      </c>
      <c r="E621" s="2" t="s">
        <v>14</v>
      </c>
      <c r="F621">
        <v>63</v>
      </c>
      <c r="G621" s="2" t="s">
        <v>22</v>
      </c>
      <c r="H621">
        <v>3</v>
      </c>
      <c r="I621">
        <v>25</v>
      </c>
      <c r="J621">
        <v>75</v>
      </c>
      <c r="K621">
        <v>75</v>
      </c>
      <c r="L621">
        <v>2023</v>
      </c>
      <c r="M621">
        <v>501</v>
      </c>
      <c r="N621">
        <v>45060</v>
      </c>
      <c r="O621" t="str">
        <v>May</v>
      </c>
      <c r="P621" t="str">
        <v>CUST501</v>
      </c>
      <c r="Q621" t="str">
        <v>Male</v>
      </c>
      <c r="R621">
        <v>39</v>
      </c>
      <c r="S621" t="str">
        <v>Electronics</v>
      </c>
      <c r="T621">
        <v>2</v>
      </c>
      <c r="U621">
        <v>30</v>
      </c>
      <c r="V621">
        <v>60</v>
      </c>
      <c r="W621">
        <v>60</v>
      </c>
      <c r="X621">
        <v>2023</v>
      </c>
    </row>
    <row r="622" spans="1:24" x14ac:dyDescent="0.35">
      <c r="A622">
        <v>621</v>
      </c>
      <c r="B622" s="1">
        <v>44989</v>
      </c>
      <c r="C622" s="2" t="s">
        <v>28</v>
      </c>
      <c r="D622" s="2" t="s">
        <v>649</v>
      </c>
      <c r="E622" s="2" t="s">
        <v>18</v>
      </c>
      <c r="F622">
        <v>40</v>
      </c>
      <c r="G622" s="2" t="s">
        <v>15</v>
      </c>
      <c r="H622">
        <v>2</v>
      </c>
      <c r="I622">
        <v>500</v>
      </c>
      <c r="J622">
        <v>1000</v>
      </c>
      <c r="K622">
        <v>1000</v>
      </c>
      <c r="L622">
        <v>2023</v>
      </c>
      <c r="M622">
        <v>502</v>
      </c>
      <c r="N622">
        <v>45018</v>
      </c>
      <c r="O622" t="str">
        <v>April</v>
      </c>
      <c r="P622" t="str">
        <v>CUST502</v>
      </c>
      <c r="Q622" t="str">
        <v>Male</v>
      </c>
      <c r="R622">
        <v>43</v>
      </c>
      <c r="S622" t="str">
        <v>Electronics</v>
      </c>
      <c r="T622">
        <v>3</v>
      </c>
      <c r="U622">
        <v>50</v>
      </c>
      <c r="V622">
        <v>150</v>
      </c>
      <c r="W622">
        <v>150</v>
      </c>
      <c r="X622">
        <v>2023</v>
      </c>
    </row>
    <row r="623" spans="1:24" x14ac:dyDescent="0.35">
      <c r="A623">
        <v>622</v>
      </c>
      <c r="B623" s="1">
        <v>45160</v>
      </c>
      <c r="C623" s="2" t="s">
        <v>37</v>
      </c>
      <c r="D623" s="2" t="s">
        <v>650</v>
      </c>
      <c r="E623" s="2" t="s">
        <v>18</v>
      </c>
      <c r="F623">
        <v>49</v>
      </c>
      <c r="G623" s="2" t="s">
        <v>15</v>
      </c>
      <c r="H623">
        <v>3</v>
      </c>
      <c r="I623">
        <v>25</v>
      </c>
      <c r="J623">
        <v>75</v>
      </c>
      <c r="K623">
        <v>75</v>
      </c>
      <c r="L623">
        <v>2023</v>
      </c>
      <c r="M623">
        <v>503</v>
      </c>
      <c r="N623">
        <v>45224</v>
      </c>
      <c r="O623" t="str">
        <v>October</v>
      </c>
      <c r="P623" t="str">
        <v>CUST503</v>
      </c>
      <c r="Q623" t="str">
        <v>Male</v>
      </c>
      <c r="R623">
        <v>45</v>
      </c>
      <c r="S623" t="str">
        <v>Beauty</v>
      </c>
      <c r="T623">
        <v>4</v>
      </c>
      <c r="U623">
        <v>500</v>
      </c>
      <c r="V623">
        <v>2000</v>
      </c>
      <c r="W623">
        <v>2000</v>
      </c>
      <c r="X623">
        <v>2023</v>
      </c>
    </row>
    <row r="624" spans="1:24" x14ac:dyDescent="0.35">
      <c r="A624">
        <v>623</v>
      </c>
      <c r="B624" s="1">
        <v>44995</v>
      </c>
      <c r="C624" s="2" t="s">
        <v>28</v>
      </c>
      <c r="D624" s="2" t="s">
        <v>651</v>
      </c>
      <c r="E624" s="2" t="s">
        <v>14</v>
      </c>
      <c r="F624">
        <v>34</v>
      </c>
      <c r="G624" s="2" t="s">
        <v>19</v>
      </c>
      <c r="H624">
        <v>3</v>
      </c>
      <c r="I624">
        <v>50</v>
      </c>
      <c r="J624">
        <v>150</v>
      </c>
      <c r="K624">
        <v>150</v>
      </c>
      <c r="L624">
        <v>2023</v>
      </c>
      <c r="M624">
        <v>504</v>
      </c>
      <c r="N624">
        <v>45062</v>
      </c>
      <c r="O624" t="str">
        <v>May</v>
      </c>
      <c r="P624" t="str">
        <v>CUST504</v>
      </c>
      <c r="Q624" t="str">
        <v>Female</v>
      </c>
      <c r="R624">
        <v>38</v>
      </c>
      <c r="S624" t="str">
        <v>Beauty</v>
      </c>
      <c r="T624">
        <v>3</v>
      </c>
      <c r="U624">
        <v>50</v>
      </c>
      <c r="V624">
        <v>150</v>
      </c>
      <c r="W624">
        <v>150</v>
      </c>
      <c r="X624">
        <v>2023</v>
      </c>
    </row>
    <row r="625" spans="1:24" x14ac:dyDescent="0.35">
      <c r="A625">
        <v>624</v>
      </c>
      <c r="B625" s="1">
        <v>45164</v>
      </c>
      <c r="C625" s="2" t="s">
        <v>37</v>
      </c>
      <c r="D625" s="2" t="s">
        <v>652</v>
      </c>
      <c r="E625" s="2" t="s">
        <v>18</v>
      </c>
      <c r="F625">
        <v>34</v>
      </c>
      <c r="G625" s="2" t="s">
        <v>15</v>
      </c>
      <c r="H625">
        <v>3</v>
      </c>
      <c r="I625">
        <v>300</v>
      </c>
      <c r="J625">
        <v>900</v>
      </c>
      <c r="K625">
        <v>900</v>
      </c>
      <c r="L625">
        <v>2023</v>
      </c>
      <c r="M625">
        <v>505</v>
      </c>
      <c r="N625">
        <v>44946</v>
      </c>
      <c r="O625" t="str">
        <v>January</v>
      </c>
      <c r="P625" t="str">
        <v>CUST505</v>
      </c>
      <c r="Q625" t="str">
        <v>Male</v>
      </c>
      <c r="R625">
        <v>24</v>
      </c>
      <c r="S625" t="str">
        <v>Beauty</v>
      </c>
      <c r="T625">
        <v>1</v>
      </c>
      <c r="U625">
        <v>50</v>
      </c>
      <c r="V625">
        <v>50</v>
      </c>
      <c r="W625">
        <v>50</v>
      </c>
      <c r="X625">
        <v>2023</v>
      </c>
    </row>
    <row r="626" spans="1:24" x14ac:dyDescent="0.35">
      <c r="A626">
        <v>625</v>
      </c>
      <c r="B626" s="1">
        <v>45268</v>
      </c>
      <c r="C626" s="2" t="s">
        <v>31</v>
      </c>
      <c r="D626" s="2" t="s">
        <v>653</v>
      </c>
      <c r="E626" s="2" t="s">
        <v>14</v>
      </c>
      <c r="F626">
        <v>31</v>
      </c>
      <c r="G626" s="2" t="s">
        <v>19</v>
      </c>
      <c r="H626">
        <v>1</v>
      </c>
      <c r="I626">
        <v>300</v>
      </c>
      <c r="J626">
        <v>300</v>
      </c>
      <c r="K626">
        <v>300</v>
      </c>
      <c r="L626">
        <v>2023</v>
      </c>
      <c r="M626">
        <v>506</v>
      </c>
      <c r="N626">
        <v>44982</v>
      </c>
      <c r="O626" t="str">
        <v>February</v>
      </c>
      <c r="P626" t="str">
        <v>CUST506</v>
      </c>
      <c r="Q626" t="str">
        <v>Male</v>
      </c>
      <c r="R626">
        <v>34</v>
      </c>
      <c r="S626" t="str">
        <v>Beauty</v>
      </c>
      <c r="T626">
        <v>3</v>
      </c>
      <c r="U626">
        <v>500</v>
      </c>
      <c r="V626">
        <v>1500</v>
      </c>
      <c r="W626">
        <v>1500</v>
      </c>
      <c r="X626">
        <v>2023</v>
      </c>
    </row>
    <row r="627" spans="1:24" x14ac:dyDescent="0.35">
      <c r="A627">
        <v>626</v>
      </c>
      <c r="B627" s="1">
        <v>45198</v>
      </c>
      <c r="C627" s="2" t="s">
        <v>44</v>
      </c>
      <c r="D627" s="2" t="s">
        <v>654</v>
      </c>
      <c r="E627" s="2" t="s">
        <v>18</v>
      </c>
      <c r="F627">
        <v>26</v>
      </c>
      <c r="G627" s="2" t="s">
        <v>19</v>
      </c>
      <c r="H627">
        <v>4</v>
      </c>
      <c r="I627">
        <v>500</v>
      </c>
      <c r="J627">
        <v>2000</v>
      </c>
      <c r="K627">
        <v>2000</v>
      </c>
      <c r="L627">
        <v>2023</v>
      </c>
      <c r="M627">
        <v>507</v>
      </c>
      <c r="N627">
        <v>45232</v>
      </c>
      <c r="O627" t="str">
        <v>November</v>
      </c>
      <c r="P627" t="str">
        <v>CUST507</v>
      </c>
      <c r="Q627" t="str">
        <v>Female</v>
      </c>
      <c r="R627">
        <v>37</v>
      </c>
      <c r="S627" t="str">
        <v>Electronics</v>
      </c>
      <c r="T627">
        <v>3</v>
      </c>
      <c r="U627">
        <v>500</v>
      </c>
      <c r="V627">
        <v>1500</v>
      </c>
      <c r="W627">
        <v>1500</v>
      </c>
      <c r="X627">
        <v>2023</v>
      </c>
    </row>
    <row r="628" spans="1:24" x14ac:dyDescent="0.35">
      <c r="A628">
        <v>627</v>
      </c>
      <c r="B628" s="1">
        <v>45213</v>
      </c>
      <c r="C628" s="2" t="s">
        <v>33</v>
      </c>
      <c r="D628" s="2" t="s">
        <v>655</v>
      </c>
      <c r="E628" s="2" t="s">
        <v>14</v>
      </c>
      <c r="F628">
        <v>57</v>
      </c>
      <c r="G628" s="2" t="s">
        <v>19</v>
      </c>
      <c r="H628">
        <v>1</v>
      </c>
      <c r="I628">
        <v>50</v>
      </c>
      <c r="J628">
        <v>50</v>
      </c>
      <c r="K628">
        <v>50</v>
      </c>
      <c r="L628">
        <v>2023</v>
      </c>
      <c r="M628">
        <v>508</v>
      </c>
      <c r="N628">
        <v>45149</v>
      </c>
      <c r="O628" t="str">
        <v>August</v>
      </c>
      <c r="P628" t="str">
        <v>CUST508</v>
      </c>
      <c r="Q628" t="str">
        <v>Male</v>
      </c>
      <c r="R628">
        <v>58</v>
      </c>
      <c r="S628" t="str">
        <v>Beauty</v>
      </c>
      <c r="T628">
        <v>2</v>
      </c>
      <c r="U628">
        <v>300</v>
      </c>
      <c r="V628">
        <v>600</v>
      </c>
      <c r="W628">
        <v>600</v>
      </c>
      <c r="X628">
        <v>2023</v>
      </c>
    </row>
    <row r="629" spans="1:24" x14ac:dyDescent="0.35">
      <c r="A629">
        <v>628</v>
      </c>
      <c r="B629" s="1">
        <v>45231</v>
      </c>
      <c r="C629" s="2" t="s">
        <v>12</v>
      </c>
      <c r="D629" s="2" t="s">
        <v>656</v>
      </c>
      <c r="E629" s="2" t="s">
        <v>18</v>
      </c>
      <c r="F629">
        <v>19</v>
      </c>
      <c r="G629" s="2" t="s">
        <v>15</v>
      </c>
      <c r="H629">
        <v>4</v>
      </c>
      <c r="I629">
        <v>50</v>
      </c>
      <c r="J629">
        <v>200</v>
      </c>
      <c r="K629">
        <v>200</v>
      </c>
      <c r="L629">
        <v>2023</v>
      </c>
      <c r="M629">
        <v>509</v>
      </c>
      <c r="N629">
        <v>45103</v>
      </c>
      <c r="O629" t="str">
        <v>June</v>
      </c>
      <c r="P629" t="str">
        <v>CUST509</v>
      </c>
      <c r="Q629" t="str">
        <v>Female</v>
      </c>
      <c r="R629">
        <v>37</v>
      </c>
      <c r="S629" t="str">
        <v>Electronics</v>
      </c>
      <c r="T629">
        <v>3</v>
      </c>
      <c r="U629">
        <v>300</v>
      </c>
      <c r="V629">
        <v>900</v>
      </c>
      <c r="W629">
        <v>900</v>
      </c>
      <c r="X629">
        <v>2023</v>
      </c>
    </row>
    <row r="630" spans="1:24" x14ac:dyDescent="0.35">
      <c r="A630">
        <v>629</v>
      </c>
      <c r="B630" s="1">
        <v>45089</v>
      </c>
      <c r="C630" s="2" t="s">
        <v>62</v>
      </c>
      <c r="D630" s="2" t="s">
        <v>657</v>
      </c>
      <c r="E630" s="2" t="s">
        <v>14</v>
      </c>
      <c r="F630">
        <v>62</v>
      </c>
      <c r="G630" s="2" t="s">
        <v>22</v>
      </c>
      <c r="H630">
        <v>2</v>
      </c>
      <c r="I630">
        <v>25</v>
      </c>
      <c r="J630">
        <v>50</v>
      </c>
      <c r="K630">
        <v>50</v>
      </c>
      <c r="L630">
        <v>2023</v>
      </c>
      <c r="M630">
        <v>510</v>
      </c>
      <c r="N630">
        <v>45087</v>
      </c>
      <c r="O630" t="str">
        <v>June</v>
      </c>
      <c r="P630" t="str">
        <v>CUST510</v>
      </c>
      <c r="Q630" t="str">
        <v>Female</v>
      </c>
      <c r="R630">
        <v>39</v>
      </c>
      <c r="S630" t="str">
        <v>Beauty</v>
      </c>
      <c r="T630">
        <v>4</v>
      </c>
      <c r="U630">
        <v>50</v>
      </c>
      <c r="V630">
        <v>200</v>
      </c>
      <c r="W630">
        <v>200</v>
      </c>
      <c r="X630">
        <v>2023</v>
      </c>
    </row>
    <row r="631" spans="1:24" x14ac:dyDescent="0.35">
      <c r="A631">
        <v>630</v>
      </c>
      <c r="B631" s="1">
        <v>45153</v>
      </c>
      <c r="C631" s="2" t="s">
        <v>37</v>
      </c>
      <c r="D631" s="2" t="s">
        <v>658</v>
      </c>
      <c r="E631" s="2" t="s">
        <v>14</v>
      </c>
      <c r="F631">
        <v>42</v>
      </c>
      <c r="G631" s="2" t="s">
        <v>19</v>
      </c>
      <c r="H631">
        <v>2</v>
      </c>
      <c r="I631">
        <v>50</v>
      </c>
      <c r="J631">
        <v>100</v>
      </c>
      <c r="K631">
        <v>100</v>
      </c>
      <c r="L631">
        <v>2023</v>
      </c>
      <c r="M631">
        <v>511</v>
      </c>
      <c r="N631">
        <v>45150</v>
      </c>
      <c r="O631" t="str">
        <v>August</v>
      </c>
      <c r="P631" t="str">
        <v>CUST511</v>
      </c>
      <c r="Q631" t="str">
        <v>Male</v>
      </c>
      <c r="R631">
        <v>45</v>
      </c>
      <c r="S631" t="str">
        <v>Beauty</v>
      </c>
      <c r="T631">
        <v>2</v>
      </c>
      <c r="U631">
        <v>50</v>
      </c>
      <c r="V631">
        <v>100</v>
      </c>
      <c r="W631">
        <v>100</v>
      </c>
      <c r="X631">
        <v>2023</v>
      </c>
    </row>
    <row r="632" spans="1:24" x14ac:dyDescent="0.35">
      <c r="A632">
        <v>631</v>
      </c>
      <c r="B632" s="1">
        <v>45240</v>
      </c>
      <c r="C632" s="2" t="s">
        <v>12</v>
      </c>
      <c r="D632" s="2" t="s">
        <v>659</v>
      </c>
      <c r="E632" s="2" t="s">
        <v>14</v>
      </c>
      <c r="F632">
        <v>56</v>
      </c>
      <c r="G632" s="2" t="s">
        <v>22</v>
      </c>
      <c r="H632">
        <v>3</v>
      </c>
      <c r="I632">
        <v>30</v>
      </c>
      <c r="J632">
        <v>90</v>
      </c>
      <c r="K632">
        <v>90</v>
      </c>
      <c r="L632">
        <v>2023</v>
      </c>
      <c r="M632">
        <v>512</v>
      </c>
      <c r="N632">
        <v>45237</v>
      </c>
      <c r="O632" t="str">
        <v>November</v>
      </c>
      <c r="P632" t="str">
        <v>CUST512</v>
      </c>
      <c r="Q632" t="str">
        <v>Female</v>
      </c>
      <c r="R632">
        <v>57</v>
      </c>
      <c r="S632" t="str">
        <v>Beauty</v>
      </c>
      <c r="T632">
        <v>1</v>
      </c>
      <c r="U632">
        <v>25</v>
      </c>
      <c r="V632">
        <v>25</v>
      </c>
      <c r="W632">
        <v>25</v>
      </c>
      <c r="X632">
        <v>2023</v>
      </c>
    </row>
    <row r="633" spans="1:24" x14ac:dyDescent="0.35">
      <c r="A633">
        <v>632</v>
      </c>
      <c r="B633" s="1">
        <v>45185</v>
      </c>
      <c r="C633" s="2" t="s">
        <v>44</v>
      </c>
      <c r="D633" s="2" t="s">
        <v>660</v>
      </c>
      <c r="E633" s="2" t="s">
        <v>18</v>
      </c>
      <c r="F633">
        <v>26</v>
      </c>
      <c r="G633" s="2" t="s">
        <v>22</v>
      </c>
      <c r="H633">
        <v>4</v>
      </c>
      <c r="I633">
        <v>25</v>
      </c>
      <c r="J633">
        <v>100</v>
      </c>
      <c r="K633">
        <v>100</v>
      </c>
      <c r="L633">
        <v>2023</v>
      </c>
      <c r="M633">
        <v>513</v>
      </c>
      <c r="N633">
        <v>45188</v>
      </c>
      <c r="O633" t="str">
        <v>September</v>
      </c>
      <c r="P633" t="str">
        <v>CUST513</v>
      </c>
      <c r="Q633" t="str">
        <v>Male</v>
      </c>
      <c r="R633">
        <v>24</v>
      </c>
      <c r="S633" t="str">
        <v>Electronics</v>
      </c>
      <c r="T633">
        <v>4</v>
      </c>
      <c r="U633">
        <v>25</v>
      </c>
      <c r="V633">
        <v>100</v>
      </c>
      <c r="W633">
        <v>100</v>
      </c>
      <c r="X633">
        <v>2023</v>
      </c>
    </row>
    <row r="634" spans="1:24" x14ac:dyDescent="0.35">
      <c r="A634">
        <v>633</v>
      </c>
      <c r="B634" s="1">
        <v>45145</v>
      </c>
      <c r="C634" s="2" t="s">
        <v>37</v>
      </c>
      <c r="D634" s="2" t="s">
        <v>661</v>
      </c>
      <c r="E634" s="2" t="s">
        <v>14</v>
      </c>
      <c r="F634">
        <v>39</v>
      </c>
      <c r="G634" s="2" t="s">
        <v>15</v>
      </c>
      <c r="H634">
        <v>4</v>
      </c>
      <c r="I634">
        <v>30</v>
      </c>
      <c r="J634">
        <v>120</v>
      </c>
      <c r="K634">
        <v>120</v>
      </c>
      <c r="L634">
        <v>2023</v>
      </c>
      <c r="M634">
        <v>514</v>
      </c>
      <c r="N634">
        <v>44986</v>
      </c>
      <c r="O634" t="str">
        <v>March</v>
      </c>
      <c r="P634" t="str">
        <v>CUST514</v>
      </c>
      <c r="Q634" t="str">
        <v>Female</v>
      </c>
      <c r="R634">
        <v>18</v>
      </c>
      <c r="S634" t="str">
        <v>Electronics</v>
      </c>
      <c r="T634">
        <v>1</v>
      </c>
      <c r="U634">
        <v>300</v>
      </c>
      <c r="V634">
        <v>300</v>
      </c>
      <c r="W634">
        <v>300</v>
      </c>
      <c r="X634">
        <v>2023</v>
      </c>
    </row>
    <row r="635" spans="1:24" x14ac:dyDescent="0.35">
      <c r="A635">
        <v>634</v>
      </c>
      <c r="B635" s="1">
        <v>45207</v>
      </c>
      <c r="C635" s="2" t="s">
        <v>33</v>
      </c>
      <c r="D635" s="2" t="s">
        <v>662</v>
      </c>
      <c r="E635" s="2" t="s">
        <v>14</v>
      </c>
      <c r="F635">
        <v>60</v>
      </c>
      <c r="G635" s="2" t="s">
        <v>22</v>
      </c>
      <c r="H635">
        <v>4</v>
      </c>
      <c r="I635">
        <v>500</v>
      </c>
      <c r="J635">
        <v>2000</v>
      </c>
      <c r="K635">
        <v>2000</v>
      </c>
      <c r="L635">
        <v>2023</v>
      </c>
      <c r="M635">
        <v>515</v>
      </c>
      <c r="N635">
        <v>45124</v>
      </c>
      <c r="O635" t="str">
        <v>July</v>
      </c>
      <c r="P635" t="str">
        <v>CUST515</v>
      </c>
      <c r="Q635" t="str">
        <v>Female</v>
      </c>
      <c r="R635">
        <v>49</v>
      </c>
      <c r="S635" t="str">
        <v>Clothing</v>
      </c>
      <c r="T635">
        <v>3</v>
      </c>
      <c r="U635">
        <v>300</v>
      </c>
      <c r="V635">
        <v>900</v>
      </c>
      <c r="W635">
        <v>900</v>
      </c>
      <c r="X635">
        <v>2023</v>
      </c>
    </row>
    <row r="636" spans="1:24" x14ac:dyDescent="0.35">
      <c r="A636">
        <v>635</v>
      </c>
      <c r="B636" s="1">
        <v>45155</v>
      </c>
      <c r="C636" s="2" t="s">
        <v>37</v>
      </c>
      <c r="D636" s="2" t="s">
        <v>663</v>
      </c>
      <c r="E636" s="2" t="s">
        <v>18</v>
      </c>
      <c r="F636">
        <v>63</v>
      </c>
      <c r="G636" s="2" t="s">
        <v>22</v>
      </c>
      <c r="H636">
        <v>3</v>
      </c>
      <c r="I636">
        <v>300</v>
      </c>
      <c r="J636">
        <v>900</v>
      </c>
      <c r="K636">
        <v>900</v>
      </c>
      <c r="L636">
        <v>2023</v>
      </c>
      <c r="M636">
        <v>516</v>
      </c>
      <c r="N636">
        <v>45222</v>
      </c>
      <c r="O636" t="str">
        <v>October</v>
      </c>
      <c r="P636" t="str">
        <v>CUST516</v>
      </c>
      <c r="Q636" t="str">
        <v>Male</v>
      </c>
      <c r="R636">
        <v>30</v>
      </c>
      <c r="S636" t="str">
        <v>Beauty</v>
      </c>
      <c r="T636">
        <v>4</v>
      </c>
      <c r="U636">
        <v>25</v>
      </c>
      <c r="V636">
        <v>100</v>
      </c>
      <c r="W636">
        <v>100</v>
      </c>
      <c r="X636">
        <v>2023</v>
      </c>
    </row>
    <row r="637" spans="1:24" x14ac:dyDescent="0.35">
      <c r="A637">
        <v>636</v>
      </c>
      <c r="B637" s="1">
        <v>45008</v>
      </c>
      <c r="C637" s="2" t="s">
        <v>28</v>
      </c>
      <c r="D637" s="2" t="s">
        <v>664</v>
      </c>
      <c r="E637" s="2" t="s">
        <v>18</v>
      </c>
      <c r="F637">
        <v>21</v>
      </c>
      <c r="G637" s="2" t="s">
        <v>15</v>
      </c>
      <c r="H637">
        <v>3</v>
      </c>
      <c r="I637">
        <v>500</v>
      </c>
      <c r="J637">
        <v>1500</v>
      </c>
      <c r="K637">
        <v>1500</v>
      </c>
      <c r="L637">
        <v>2023</v>
      </c>
      <c r="M637">
        <v>517</v>
      </c>
      <c r="N637">
        <v>45024</v>
      </c>
      <c r="O637" t="str">
        <v>April</v>
      </c>
      <c r="P637" t="str">
        <v>CUST517</v>
      </c>
      <c r="Q637" t="str">
        <v>Female</v>
      </c>
      <c r="R637">
        <v>47</v>
      </c>
      <c r="S637" t="str">
        <v>Clothing</v>
      </c>
      <c r="T637">
        <v>4</v>
      </c>
      <c r="U637">
        <v>25</v>
      </c>
      <c r="V637">
        <v>100</v>
      </c>
      <c r="W637">
        <v>100</v>
      </c>
      <c r="X637">
        <v>2023</v>
      </c>
    </row>
    <row r="638" spans="1:24" x14ac:dyDescent="0.35">
      <c r="A638">
        <v>637</v>
      </c>
      <c r="B638" s="1">
        <v>45170</v>
      </c>
      <c r="C638" s="2" t="s">
        <v>44</v>
      </c>
      <c r="D638" s="2" t="s">
        <v>665</v>
      </c>
      <c r="E638" s="2" t="s">
        <v>14</v>
      </c>
      <c r="F638">
        <v>43</v>
      </c>
      <c r="G638" s="2" t="s">
        <v>19</v>
      </c>
      <c r="H638">
        <v>2</v>
      </c>
      <c r="I638">
        <v>300</v>
      </c>
      <c r="J638">
        <v>600</v>
      </c>
      <c r="K638">
        <v>600</v>
      </c>
      <c r="L638">
        <v>2023</v>
      </c>
      <c r="M638">
        <v>518</v>
      </c>
      <c r="N638">
        <v>45057</v>
      </c>
      <c r="O638" t="str">
        <v>May</v>
      </c>
      <c r="P638" t="str">
        <v>CUST518</v>
      </c>
      <c r="Q638" t="str">
        <v>Female</v>
      </c>
      <c r="R638">
        <v>40</v>
      </c>
      <c r="S638" t="str">
        <v>Clothing</v>
      </c>
      <c r="T638">
        <v>1</v>
      </c>
      <c r="U638">
        <v>30</v>
      </c>
      <c r="V638">
        <v>30</v>
      </c>
      <c r="W638">
        <v>30</v>
      </c>
      <c r="X638">
        <v>2023</v>
      </c>
    </row>
    <row r="639" spans="1:24" x14ac:dyDescent="0.35">
      <c r="A639">
        <v>638</v>
      </c>
      <c r="B639" s="1">
        <v>45157</v>
      </c>
      <c r="C639" s="2" t="s">
        <v>37</v>
      </c>
      <c r="D639" s="2" t="s">
        <v>666</v>
      </c>
      <c r="E639" s="2" t="s">
        <v>14</v>
      </c>
      <c r="F639">
        <v>46</v>
      </c>
      <c r="G639" s="2" t="s">
        <v>22</v>
      </c>
      <c r="H639">
        <v>1</v>
      </c>
      <c r="I639">
        <v>500</v>
      </c>
      <c r="J639">
        <v>500</v>
      </c>
      <c r="K639">
        <v>500</v>
      </c>
      <c r="L639">
        <v>2023</v>
      </c>
      <c r="M639">
        <v>519</v>
      </c>
      <c r="N639">
        <v>44949</v>
      </c>
      <c r="O639" t="str">
        <v>January</v>
      </c>
      <c r="P639" t="str">
        <v>CUST519</v>
      </c>
      <c r="Q639" t="str">
        <v>Female</v>
      </c>
      <c r="R639">
        <v>36</v>
      </c>
      <c r="S639" t="str">
        <v>Electronics</v>
      </c>
      <c r="T639">
        <v>4</v>
      </c>
      <c r="U639">
        <v>30</v>
      </c>
      <c r="V639">
        <v>120</v>
      </c>
      <c r="W639">
        <v>120</v>
      </c>
      <c r="X639">
        <v>2023</v>
      </c>
    </row>
    <row r="640" spans="1:24" x14ac:dyDescent="0.35">
      <c r="A640">
        <v>639</v>
      </c>
      <c r="B640" s="1">
        <v>45059</v>
      </c>
      <c r="C640" s="2" t="s">
        <v>23</v>
      </c>
      <c r="D640" s="2" t="s">
        <v>667</v>
      </c>
      <c r="E640" s="2" t="s">
        <v>18</v>
      </c>
      <c r="F640">
        <v>62</v>
      </c>
      <c r="G640" s="2" t="s">
        <v>15</v>
      </c>
      <c r="H640">
        <v>4</v>
      </c>
      <c r="I640">
        <v>50</v>
      </c>
      <c r="J640">
        <v>200</v>
      </c>
      <c r="K640">
        <v>200</v>
      </c>
      <c r="L640">
        <v>2023</v>
      </c>
      <c r="M640">
        <v>520</v>
      </c>
      <c r="N640">
        <v>45289</v>
      </c>
      <c r="O640" t="str">
        <v>December</v>
      </c>
      <c r="P640" t="str">
        <v>CUST520</v>
      </c>
      <c r="Q640" t="str">
        <v>Female</v>
      </c>
      <c r="R640">
        <v>49</v>
      </c>
      <c r="S640" t="str">
        <v>Electronics</v>
      </c>
      <c r="T640">
        <v>4</v>
      </c>
      <c r="U640">
        <v>25</v>
      </c>
      <c r="V640">
        <v>100</v>
      </c>
      <c r="W640">
        <v>100</v>
      </c>
      <c r="X640">
        <v>2023</v>
      </c>
    </row>
    <row r="641" spans="1:24" x14ac:dyDescent="0.35">
      <c r="A641">
        <v>640</v>
      </c>
      <c r="B641" s="1">
        <v>45053</v>
      </c>
      <c r="C641" s="2" t="s">
        <v>23</v>
      </c>
      <c r="D641" s="2" t="s">
        <v>668</v>
      </c>
      <c r="E641" s="2" t="s">
        <v>18</v>
      </c>
      <c r="F641">
        <v>51</v>
      </c>
      <c r="G641" s="2" t="s">
        <v>22</v>
      </c>
      <c r="H641">
        <v>4</v>
      </c>
      <c r="I641">
        <v>30</v>
      </c>
      <c r="J641">
        <v>120</v>
      </c>
      <c r="K641">
        <v>120</v>
      </c>
      <c r="L641">
        <v>2023</v>
      </c>
      <c r="M641">
        <v>521</v>
      </c>
      <c r="N641">
        <v>45150</v>
      </c>
      <c r="O641" t="str">
        <v>August</v>
      </c>
      <c r="P641" t="str">
        <v>CUST521</v>
      </c>
      <c r="Q641" t="str">
        <v>Female</v>
      </c>
      <c r="R641">
        <v>47</v>
      </c>
      <c r="S641" t="str">
        <v>Clothing</v>
      </c>
      <c r="T641">
        <v>4</v>
      </c>
      <c r="U641">
        <v>30</v>
      </c>
      <c r="V641">
        <v>120</v>
      </c>
      <c r="W641">
        <v>120</v>
      </c>
      <c r="X641">
        <v>2023</v>
      </c>
    </row>
    <row r="642" spans="1:24" x14ac:dyDescent="0.35">
      <c r="A642">
        <v>641</v>
      </c>
      <c r="B642" s="1">
        <v>45253</v>
      </c>
      <c r="C642" s="2" t="s">
        <v>12</v>
      </c>
      <c r="D642" s="2" t="s">
        <v>669</v>
      </c>
      <c r="E642" s="2" t="s">
        <v>18</v>
      </c>
      <c r="F642">
        <v>40</v>
      </c>
      <c r="G642" s="2" t="s">
        <v>22</v>
      </c>
      <c r="H642">
        <v>1</v>
      </c>
      <c r="I642">
        <v>300</v>
      </c>
      <c r="J642">
        <v>300</v>
      </c>
      <c r="K642">
        <v>300</v>
      </c>
      <c r="L642">
        <v>2023</v>
      </c>
      <c r="M642">
        <v>522</v>
      </c>
      <c r="N642">
        <v>44927</v>
      </c>
      <c r="O642" t="str">
        <v>January</v>
      </c>
      <c r="P642" t="str">
        <v>CUST522</v>
      </c>
      <c r="Q642" t="str">
        <v>Male</v>
      </c>
      <c r="R642">
        <v>46</v>
      </c>
      <c r="S642" t="str">
        <v>Beauty</v>
      </c>
      <c r="T642">
        <v>3</v>
      </c>
      <c r="U642">
        <v>500</v>
      </c>
      <c r="V642">
        <v>1500</v>
      </c>
      <c r="W642">
        <v>1500</v>
      </c>
      <c r="X642">
        <v>2023</v>
      </c>
    </row>
    <row r="643" spans="1:24" x14ac:dyDescent="0.35">
      <c r="A643">
        <v>642</v>
      </c>
      <c r="B643" s="1">
        <v>45068</v>
      </c>
      <c r="C643" s="2" t="s">
        <v>23</v>
      </c>
      <c r="D643" s="2" t="s">
        <v>670</v>
      </c>
      <c r="E643" s="2" t="s">
        <v>18</v>
      </c>
      <c r="F643">
        <v>54</v>
      </c>
      <c r="G643" s="2" t="s">
        <v>19</v>
      </c>
      <c r="H643">
        <v>4</v>
      </c>
      <c r="I643">
        <v>25</v>
      </c>
      <c r="J643">
        <v>100</v>
      </c>
      <c r="K643">
        <v>100</v>
      </c>
      <c r="L643">
        <v>2023</v>
      </c>
      <c r="M643">
        <v>523</v>
      </c>
      <c r="N643">
        <v>45193</v>
      </c>
      <c r="O643" t="str">
        <v>September</v>
      </c>
      <c r="P643" t="str">
        <v>CUST523</v>
      </c>
      <c r="Q643" t="str">
        <v>Female</v>
      </c>
      <c r="R643">
        <v>62</v>
      </c>
      <c r="S643" t="str">
        <v>Electronics</v>
      </c>
      <c r="T643">
        <v>1</v>
      </c>
      <c r="U643">
        <v>300</v>
      </c>
      <c r="V643">
        <v>300</v>
      </c>
      <c r="W643">
        <v>300</v>
      </c>
      <c r="X643">
        <v>2023</v>
      </c>
    </row>
    <row r="644" spans="1:24" x14ac:dyDescent="0.35">
      <c r="A644">
        <v>643</v>
      </c>
      <c r="B644" s="1">
        <v>45193</v>
      </c>
      <c r="C644" s="2" t="s">
        <v>44</v>
      </c>
      <c r="D644" s="2" t="s">
        <v>671</v>
      </c>
      <c r="E644" s="2" t="s">
        <v>18</v>
      </c>
      <c r="F644">
        <v>28</v>
      </c>
      <c r="G644" s="2" t="s">
        <v>22</v>
      </c>
      <c r="H644">
        <v>3</v>
      </c>
      <c r="I644">
        <v>30</v>
      </c>
      <c r="J644">
        <v>90</v>
      </c>
      <c r="K644">
        <v>90</v>
      </c>
      <c r="L644">
        <v>2023</v>
      </c>
      <c r="M644">
        <v>524</v>
      </c>
      <c r="N644">
        <v>45202</v>
      </c>
      <c r="O644" t="str">
        <v>October</v>
      </c>
      <c r="P644" t="str">
        <v>CUST524</v>
      </c>
      <c r="Q644" t="str">
        <v>Male</v>
      </c>
      <c r="R644">
        <v>46</v>
      </c>
      <c r="S644" t="str">
        <v>Beauty</v>
      </c>
      <c r="T644">
        <v>4</v>
      </c>
      <c r="U644">
        <v>300</v>
      </c>
      <c r="V644">
        <v>1200</v>
      </c>
      <c r="W644">
        <v>1200</v>
      </c>
      <c r="X644">
        <v>2023</v>
      </c>
    </row>
    <row r="645" spans="1:24" x14ac:dyDescent="0.35">
      <c r="A645">
        <v>644</v>
      </c>
      <c r="B645" s="1">
        <v>45175</v>
      </c>
      <c r="C645" s="2" t="s">
        <v>44</v>
      </c>
      <c r="D645" s="2" t="s">
        <v>672</v>
      </c>
      <c r="E645" s="2" t="s">
        <v>14</v>
      </c>
      <c r="F645">
        <v>23</v>
      </c>
      <c r="G645" s="2" t="s">
        <v>15</v>
      </c>
      <c r="H645">
        <v>3</v>
      </c>
      <c r="I645">
        <v>25</v>
      </c>
      <c r="J645">
        <v>75</v>
      </c>
      <c r="K645">
        <v>75</v>
      </c>
      <c r="L645">
        <v>2023</v>
      </c>
      <c r="M645">
        <v>525</v>
      </c>
      <c r="N645">
        <v>45278</v>
      </c>
      <c r="O645" t="str">
        <v>December</v>
      </c>
      <c r="P645" t="str">
        <v>CUST525</v>
      </c>
      <c r="Q645" t="str">
        <v>Female</v>
      </c>
      <c r="R645">
        <v>47</v>
      </c>
      <c r="S645" t="str">
        <v>Beauty</v>
      </c>
      <c r="T645">
        <v>2</v>
      </c>
      <c r="U645">
        <v>25</v>
      </c>
      <c r="V645">
        <v>50</v>
      </c>
      <c r="W645">
        <v>50</v>
      </c>
      <c r="X645">
        <v>2023</v>
      </c>
    </row>
    <row r="646" spans="1:24" x14ac:dyDescent="0.35">
      <c r="A646">
        <v>645</v>
      </c>
      <c r="B646" s="1">
        <v>45247</v>
      </c>
      <c r="C646" s="2" t="s">
        <v>12</v>
      </c>
      <c r="D646" s="2" t="s">
        <v>673</v>
      </c>
      <c r="E646" s="2" t="s">
        <v>18</v>
      </c>
      <c r="F646">
        <v>35</v>
      </c>
      <c r="G646" s="2" t="s">
        <v>22</v>
      </c>
      <c r="H646">
        <v>4</v>
      </c>
      <c r="I646">
        <v>30</v>
      </c>
      <c r="J646">
        <v>120</v>
      </c>
      <c r="K646">
        <v>120</v>
      </c>
      <c r="L646">
        <v>2023</v>
      </c>
      <c r="M646">
        <v>526</v>
      </c>
      <c r="N646">
        <v>45270</v>
      </c>
      <c r="O646" t="str">
        <v>December</v>
      </c>
      <c r="P646" t="str">
        <v>CUST526</v>
      </c>
      <c r="Q646" t="str">
        <v>Male</v>
      </c>
      <c r="R646">
        <v>33</v>
      </c>
      <c r="S646" t="str">
        <v>Clothing</v>
      </c>
      <c r="T646">
        <v>2</v>
      </c>
      <c r="U646">
        <v>50</v>
      </c>
      <c r="V646">
        <v>100</v>
      </c>
      <c r="W646">
        <v>100</v>
      </c>
      <c r="X646">
        <v>2023</v>
      </c>
    </row>
    <row r="647" spans="1:24" x14ac:dyDescent="0.35">
      <c r="A647">
        <v>646</v>
      </c>
      <c r="B647" s="1">
        <v>45049</v>
      </c>
      <c r="C647" s="2" t="s">
        <v>23</v>
      </c>
      <c r="D647" s="2" t="s">
        <v>674</v>
      </c>
      <c r="E647" s="2" t="s">
        <v>14</v>
      </c>
      <c r="F647">
        <v>38</v>
      </c>
      <c r="G647" s="2" t="s">
        <v>19</v>
      </c>
      <c r="H647">
        <v>3</v>
      </c>
      <c r="I647">
        <v>30</v>
      </c>
      <c r="J647">
        <v>90</v>
      </c>
      <c r="K647">
        <v>90</v>
      </c>
      <c r="L647">
        <v>2023</v>
      </c>
      <c r="M647">
        <v>527</v>
      </c>
      <c r="N647">
        <v>45027</v>
      </c>
      <c r="O647" t="str">
        <v>April</v>
      </c>
      <c r="P647" t="str">
        <v>CUST527</v>
      </c>
      <c r="Q647" t="str">
        <v>Male</v>
      </c>
      <c r="R647">
        <v>57</v>
      </c>
      <c r="S647" t="str">
        <v>Clothing</v>
      </c>
      <c r="T647">
        <v>2</v>
      </c>
      <c r="U647">
        <v>25</v>
      </c>
      <c r="V647">
        <v>50</v>
      </c>
      <c r="W647">
        <v>50</v>
      </c>
      <c r="X647">
        <v>2023</v>
      </c>
    </row>
    <row r="648" spans="1:24" x14ac:dyDescent="0.35">
      <c r="A648">
        <v>647</v>
      </c>
      <c r="B648" s="1">
        <v>45067</v>
      </c>
      <c r="C648" s="2" t="s">
        <v>23</v>
      </c>
      <c r="D648" s="2" t="s">
        <v>675</v>
      </c>
      <c r="E648" s="2" t="s">
        <v>14</v>
      </c>
      <c r="F648">
        <v>59</v>
      </c>
      <c r="G648" s="2" t="s">
        <v>19</v>
      </c>
      <c r="H648">
        <v>3</v>
      </c>
      <c r="I648">
        <v>500</v>
      </c>
      <c r="J648">
        <v>1500</v>
      </c>
      <c r="K648">
        <v>1500</v>
      </c>
      <c r="L648">
        <v>2023</v>
      </c>
      <c r="M648">
        <v>528</v>
      </c>
      <c r="N648">
        <v>45113</v>
      </c>
      <c r="O648" t="str">
        <v>July</v>
      </c>
      <c r="P648" t="str">
        <v>CUST528</v>
      </c>
      <c r="Q648" t="str">
        <v>Female</v>
      </c>
      <c r="R648">
        <v>36</v>
      </c>
      <c r="S648" t="str">
        <v>Clothing</v>
      </c>
      <c r="T648">
        <v>2</v>
      </c>
      <c r="U648">
        <v>30</v>
      </c>
      <c r="V648">
        <v>60</v>
      </c>
      <c r="W648">
        <v>60</v>
      </c>
      <c r="X648">
        <v>2023</v>
      </c>
    </row>
    <row r="649" spans="1:24" x14ac:dyDescent="0.35">
      <c r="A649">
        <v>648</v>
      </c>
      <c r="B649" s="1">
        <v>45152</v>
      </c>
      <c r="C649" s="2" t="s">
        <v>37</v>
      </c>
      <c r="D649" s="2" t="s">
        <v>676</v>
      </c>
      <c r="E649" s="2" t="s">
        <v>14</v>
      </c>
      <c r="F649">
        <v>53</v>
      </c>
      <c r="G649" s="2" t="s">
        <v>15</v>
      </c>
      <c r="H649">
        <v>4</v>
      </c>
      <c r="I649">
        <v>300</v>
      </c>
      <c r="J649">
        <v>1200</v>
      </c>
      <c r="K649">
        <v>1200</v>
      </c>
      <c r="L649">
        <v>2023</v>
      </c>
      <c r="M649">
        <v>529</v>
      </c>
      <c r="N649">
        <v>45147</v>
      </c>
      <c r="O649" t="str">
        <v>August</v>
      </c>
      <c r="P649" t="str">
        <v>CUST529</v>
      </c>
      <c r="Q649" t="str">
        <v>Female</v>
      </c>
      <c r="R649">
        <v>35</v>
      </c>
      <c r="S649" t="str">
        <v>Clothing</v>
      </c>
      <c r="T649">
        <v>3</v>
      </c>
      <c r="U649">
        <v>50</v>
      </c>
      <c r="V649">
        <v>150</v>
      </c>
      <c r="W649">
        <v>150</v>
      </c>
      <c r="X649">
        <v>2023</v>
      </c>
    </row>
    <row r="650" spans="1:24" x14ac:dyDescent="0.35">
      <c r="A650">
        <v>649</v>
      </c>
      <c r="B650" s="1">
        <v>44966</v>
      </c>
      <c r="C650" s="2" t="s">
        <v>16</v>
      </c>
      <c r="D650" s="2" t="s">
        <v>677</v>
      </c>
      <c r="E650" s="2" t="s">
        <v>18</v>
      </c>
      <c r="F650">
        <v>58</v>
      </c>
      <c r="G650" s="2" t="s">
        <v>19</v>
      </c>
      <c r="H650">
        <v>2</v>
      </c>
      <c r="I650">
        <v>300</v>
      </c>
      <c r="J650">
        <v>600</v>
      </c>
      <c r="K650">
        <v>600</v>
      </c>
      <c r="L650">
        <v>2023</v>
      </c>
      <c r="M650">
        <v>530</v>
      </c>
      <c r="N650">
        <v>44962</v>
      </c>
      <c r="O650" t="str">
        <v>February</v>
      </c>
      <c r="P650" t="str">
        <v>CUST530</v>
      </c>
      <c r="Q650" t="str">
        <v>Female</v>
      </c>
      <c r="R650">
        <v>18</v>
      </c>
      <c r="S650" t="str">
        <v>Electronics</v>
      </c>
      <c r="T650">
        <v>4</v>
      </c>
      <c r="U650">
        <v>30</v>
      </c>
      <c r="V650">
        <v>120</v>
      </c>
      <c r="W650">
        <v>120</v>
      </c>
      <c r="X650">
        <v>2023</v>
      </c>
    </row>
    <row r="651" spans="1:24" x14ac:dyDescent="0.35">
      <c r="A651">
        <v>650</v>
      </c>
      <c r="B651" s="1">
        <v>45292</v>
      </c>
      <c r="C651" s="2" t="s">
        <v>20</v>
      </c>
      <c r="D651" s="2" t="s">
        <v>678</v>
      </c>
      <c r="E651" s="2" t="s">
        <v>14</v>
      </c>
      <c r="F651">
        <v>55</v>
      </c>
      <c r="G651" s="2" t="s">
        <v>22</v>
      </c>
      <c r="H651">
        <v>1</v>
      </c>
      <c r="I651">
        <v>30</v>
      </c>
      <c r="J651">
        <v>30</v>
      </c>
      <c r="K651">
        <v>30</v>
      </c>
      <c r="L651">
        <v>2024</v>
      </c>
      <c r="M651">
        <v>531</v>
      </c>
      <c r="N651">
        <v>45267</v>
      </c>
      <c r="O651" t="str">
        <v>December</v>
      </c>
      <c r="P651" t="str">
        <v>CUST531</v>
      </c>
      <c r="Q651" t="str">
        <v>Male</v>
      </c>
      <c r="R651">
        <v>31</v>
      </c>
      <c r="S651" t="str">
        <v>Electronics</v>
      </c>
      <c r="T651">
        <v>1</v>
      </c>
      <c r="U651">
        <v>500</v>
      </c>
      <c r="V651">
        <v>500</v>
      </c>
      <c r="W651">
        <v>500</v>
      </c>
      <c r="X651">
        <v>2023</v>
      </c>
    </row>
    <row r="652" spans="1:24" x14ac:dyDescent="0.35">
      <c r="A652">
        <v>651</v>
      </c>
      <c r="B652" s="1">
        <v>45073</v>
      </c>
      <c r="C652" s="2" t="s">
        <v>23</v>
      </c>
      <c r="D652" s="2" t="s">
        <v>679</v>
      </c>
      <c r="E652" s="2" t="s">
        <v>14</v>
      </c>
      <c r="F652">
        <v>51</v>
      </c>
      <c r="G652" s="2" t="s">
        <v>19</v>
      </c>
      <c r="H652">
        <v>3</v>
      </c>
      <c r="I652">
        <v>50</v>
      </c>
      <c r="J652">
        <v>150</v>
      </c>
      <c r="K652">
        <v>150</v>
      </c>
      <c r="L652">
        <v>2023</v>
      </c>
      <c r="M652">
        <v>532</v>
      </c>
      <c r="N652">
        <v>45096</v>
      </c>
      <c r="O652" t="str">
        <v>June</v>
      </c>
      <c r="P652" t="str">
        <v>CUST532</v>
      </c>
      <c r="Q652" t="str">
        <v>Female</v>
      </c>
      <c r="R652">
        <v>64</v>
      </c>
      <c r="S652" t="str">
        <v>Clothing</v>
      </c>
      <c r="T652">
        <v>4</v>
      </c>
      <c r="U652">
        <v>30</v>
      </c>
      <c r="V652">
        <v>120</v>
      </c>
      <c r="W652">
        <v>120</v>
      </c>
      <c r="X652">
        <v>2023</v>
      </c>
    </row>
    <row r="653" spans="1:24" x14ac:dyDescent="0.35">
      <c r="A653">
        <v>652</v>
      </c>
      <c r="B653" s="1">
        <v>45047</v>
      </c>
      <c r="C653" s="2" t="s">
        <v>23</v>
      </c>
      <c r="D653" s="2" t="s">
        <v>680</v>
      </c>
      <c r="E653" s="2" t="s">
        <v>18</v>
      </c>
      <c r="F653">
        <v>34</v>
      </c>
      <c r="G653" s="2" t="s">
        <v>15</v>
      </c>
      <c r="H653">
        <v>2</v>
      </c>
      <c r="I653">
        <v>50</v>
      </c>
      <c r="J653">
        <v>100</v>
      </c>
      <c r="K653">
        <v>100</v>
      </c>
      <c r="L653">
        <v>2023</v>
      </c>
      <c r="M653">
        <v>533</v>
      </c>
      <c r="N653">
        <v>45246</v>
      </c>
      <c r="O653" t="str">
        <v>November</v>
      </c>
      <c r="P653" t="str">
        <v>CUST533</v>
      </c>
      <c r="Q653" t="str">
        <v>Male</v>
      </c>
      <c r="R653">
        <v>19</v>
      </c>
      <c r="S653" t="str">
        <v>Electronics</v>
      </c>
      <c r="T653">
        <v>3</v>
      </c>
      <c r="U653">
        <v>500</v>
      </c>
      <c r="V653">
        <v>1500</v>
      </c>
      <c r="W653">
        <v>1500</v>
      </c>
      <c r="X653">
        <v>2023</v>
      </c>
    </row>
    <row r="654" spans="1:24" x14ac:dyDescent="0.35">
      <c r="A654">
        <v>653</v>
      </c>
      <c r="B654" s="1">
        <v>45066</v>
      </c>
      <c r="C654" s="2" t="s">
        <v>23</v>
      </c>
      <c r="D654" s="2" t="s">
        <v>681</v>
      </c>
      <c r="E654" s="2" t="s">
        <v>14</v>
      </c>
      <c r="F654">
        <v>54</v>
      </c>
      <c r="G654" s="2" t="s">
        <v>19</v>
      </c>
      <c r="H654">
        <v>3</v>
      </c>
      <c r="I654">
        <v>25</v>
      </c>
      <c r="J654">
        <v>75</v>
      </c>
      <c r="K654">
        <v>75</v>
      </c>
      <c r="L654">
        <v>2023</v>
      </c>
      <c r="M654">
        <v>534</v>
      </c>
      <c r="N654">
        <v>45087</v>
      </c>
      <c r="O654" t="str">
        <v>June</v>
      </c>
      <c r="P654" t="str">
        <v>CUST534</v>
      </c>
      <c r="Q654" t="str">
        <v>Male</v>
      </c>
      <c r="R654">
        <v>45</v>
      </c>
      <c r="S654" t="str">
        <v>Clothing</v>
      </c>
      <c r="T654">
        <v>2</v>
      </c>
      <c r="U654">
        <v>500</v>
      </c>
      <c r="V654">
        <v>1000</v>
      </c>
      <c r="W654">
        <v>1000</v>
      </c>
      <c r="X654">
        <v>2023</v>
      </c>
    </row>
    <row r="655" spans="1:24" x14ac:dyDescent="0.35">
      <c r="A655">
        <v>654</v>
      </c>
      <c r="B655" s="1">
        <v>45098</v>
      </c>
      <c r="C655" s="2" t="s">
        <v>62</v>
      </c>
      <c r="D655" s="2" t="s">
        <v>682</v>
      </c>
      <c r="E655" s="2" t="s">
        <v>14</v>
      </c>
      <c r="F655">
        <v>42</v>
      </c>
      <c r="G655" s="2" t="s">
        <v>19</v>
      </c>
      <c r="H655">
        <v>3</v>
      </c>
      <c r="I655">
        <v>25</v>
      </c>
      <c r="J655">
        <v>75</v>
      </c>
      <c r="K655">
        <v>75</v>
      </c>
      <c r="L655">
        <v>2023</v>
      </c>
      <c r="M655">
        <v>535</v>
      </c>
      <c r="N655">
        <v>45266</v>
      </c>
      <c r="O655" t="str">
        <v>December</v>
      </c>
      <c r="P655" t="str">
        <v>CUST535</v>
      </c>
      <c r="Q655" t="str">
        <v>Male</v>
      </c>
      <c r="R655">
        <v>47</v>
      </c>
      <c r="S655" t="str">
        <v>Beauty</v>
      </c>
      <c r="T655">
        <v>3</v>
      </c>
      <c r="U655">
        <v>30</v>
      </c>
      <c r="V655">
        <v>90</v>
      </c>
      <c r="W655">
        <v>90</v>
      </c>
      <c r="X655">
        <v>2023</v>
      </c>
    </row>
    <row r="656" spans="1:24" x14ac:dyDescent="0.35">
      <c r="A656">
        <v>655</v>
      </c>
      <c r="B656" s="1">
        <v>45090</v>
      </c>
      <c r="C656" s="2" t="s">
        <v>62</v>
      </c>
      <c r="D656" s="2" t="s">
        <v>683</v>
      </c>
      <c r="E656" s="2" t="s">
        <v>18</v>
      </c>
      <c r="F656">
        <v>55</v>
      </c>
      <c r="G656" s="2" t="s">
        <v>19</v>
      </c>
      <c r="H656">
        <v>1</v>
      </c>
      <c r="I656">
        <v>500</v>
      </c>
      <c r="J656">
        <v>500</v>
      </c>
      <c r="K656">
        <v>500</v>
      </c>
      <c r="L656">
        <v>2023</v>
      </c>
      <c r="M656">
        <v>536</v>
      </c>
      <c r="N656">
        <v>44990</v>
      </c>
      <c r="O656" t="str">
        <v>March</v>
      </c>
      <c r="P656" t="str">
        <v>CUST536</v>
      </c>
      <c r="Q656" t="str">
        <v>Female</v>
      </c>
      <c r="R656">
        <v>55</v>
      </c>
      <c r="S656" t="str">
        <v>Beauty</v>
      </c>
      <c r="T656">
        <v>4</v>
      </c>
      <c r="U656">
        <v>30</v>
      </c>
      <c r="V656">
        <v>120</v>
      </c>
      <c r="W656">
        <v>120</v>
      </c>
      <c r="X656">
        <v>2023</v>
      </c>
    </row>
    <row r="657" spans="1:24" x14ac:dyDescent="0.35">
      <c r="A657">
        <v>656</v>
      </c>
      <c r="B657" s="1">
        <v>45203</v>
      </c>
      <c r="C657" s="2" t="s">
        <v>33</v>
      </c>
      <c r="D657" s="2" t="s">
        <v>684</v>
      </c>
      <c r="E657" s="2" t="s">
        <v>14</v>
      </c>
      <c r="F657">
        <v>29</v>
      </c>
      <c r="G657" s="2" t="s">
        <v>15</v>
      </c>
      <c r="H657">
        <v>3</v>
      </c>
      <c r="I657">
        <v>30</v>
      </c>
      <c r="J657">
        <v>90</v>
      </c>
      <c r="K657">
        <v>90</v>
      </c>
      <c r="L657">
        <v>2023</v>
      </c>
      <c r="M657">
        <v>537</v>
      </c>
      <c r="N657">
        <v>45080</v>
      </c>
      <c r="O657" t="str">
        <v>June</v>
      </c>
      <c r="P657" t="str">
        <v>CUST537</v>
      </c>
      <c r="Q657" t="str">
        <v>Female</v>
      </c>
      <c r="R657">
        <v>21</v>
      </c>
      <c r="S657" t="str">
        <v>Beauty</v>
      </c>
      <c r="T657">
        <v>1</v>
      </c>
      <c r="U657">
        <v>500</v>
      </c>
      <c r="V657">
        <v>500</v>
      </c>
      <c r="W657">
        <v>500</v>
      </c>
      <c r="X657">
        <v>2023</v>
      </c>
    </row>
    <row r="658" spans="1:24" x14ac:dyDescent="0.35">
      <c r="A658">
        <v>657</v>
      </c>
      <c r="B658" s="1">
        <v>44968</v>
      </c>
      <c r="C658" s="2" t="s">
        <v>16</v>
      </c>
      <c r="D658" s="2" t="s">
        <v>685</v>
      </c>
      <c r="E658" s="2" t="s">
        <v>14</v>
      </c>
      <c r="F658">
        <v>40</v>
      </c>
      <c r="G658" s="2" t="s">
        <v>19</v>
      </c>
      <c r="H658">
        <v>1</v>
      </c>
      <c r="I658">
        <v>25</v>
      </c>
      <c r="J658">
        <v>25</v>
      </c>
      <c r="K658">
        <v>25</v>
      </c>
      <c r="L658">
        <v>2023</v>
      </c>
      <c r="M658">
        <v>538</v>
      </c>
      <c r="N658">
        <v>45186</v>
      </c>
      <c r="O658" t="str">
        <v>September</v>
      </c>
      <c r="P658" t="str">
        <v>CUST538</v>
      </c>
      <c r="Q658" t="str">
        <v>Male</v>
      </c>
      <c r="R658">
        <v>18</v>
      </c>
      <c r="S658" t="str">
        <v>Clothing</v>
      </c>
      <c r="T658">
        <v>3</v>
      </c>
      <c r="U658">
        <v>50</v>
      </c>
      <c r="V658">
        <v>150</v>
      </c>
      <c r="W658">
        <v>150</v>
      </c>
      <c r="X658">
        <v>2023</v>
      </c>
    </row>
    <row r="659" spans="1:24" x14ac:dyDescent="0.35">
      <c r="A659">
        <v>658</v>
      </c>
      <c r="B659" s="1">
        <v>44997</v>
      </c>
      <c r="C659" s="2" t="s">
        <v>28</v>
      </c>
      <c r="D659" s="2" t="s">
        <v>686</v>
      </c>
      <c r="E659" s="2" t="s">
        <v>14</v>
      </c>
      <c r="F659">
        <v>59</v>
      </c>
      <c r="G659" s="2" t="s">
        <v>19</v>
      </c>
      <c r="H659">
        <v>1</v>
      </c>
      <c r="I659">
        <v>25</v>
      </c>
      <c r="J659">
        <v>25</v>
      </c>
      <c r="K659">
        <v>25</v>
      </c>
      <c r="L659">
        <v>2023</v>
      </c>
      <c r="M659">
        <v>539</v>
      </c>
      <c r="N659">
        <v>45085</v>
      </c>
      <c r="O659" t="str">
        <v>June</v>
      </c>
      <c r="P659" t="str">
        <v>CUST539</v>
      </c>
      <c r="Q659" t="str">
        <v>Male</v>
      </c>
      <c r="R659">
        <v>25</v>
      </c>
      <c r="S659" t="str">
        <v>Beauty</v>
      </c>
      <c r="T659">
        <v>1</v>
      </c>
      <c r="U659">
        <v>500</v>
      </c>
      <c r="V659">
        <v>500</v>
      </c>
      <c r="W659">
        <v>500</v>
      </c>
      <c r="X659">
        <v>2023</v>
      </c>
    </row>
    <row r="660" spans="1:24" x14ac:dyDescent="0.35">
      <c r="A660">
        <v>659</v>
      </c>
      <c r="B660" s="1">
        <v>45004</v>
      </c>
      <c r="C660" s="2" t="s">
        <v>28</v>
      </c>
      <c r="D660" s="2" t="s">
        <v>687</v>
      </c>
      <c r="E660" s="2" t="s">
        <v>18</v>
      </c>
      <c r="F660">
        <v>39</v>
      </c>
      <c r="G660" s="2" t="s">
        <v>22</v>
      </c>
      <c r="H660">
        <v>1</v>
      </c>
      <c r="I660">
        <v>30</v>
      </c>
      <c r="J660">
        <v>30</v>
      </c>
      <c r="K660">
        <v>30</v>
      </c>
      <c r="L660">
        <v>2023</v>
      </c>
      <c r="M660">
        <v>540</v>
      </c>
      <c r="N660">
        <v>45268</v>
      </c>
      <c r="O660" t="str">
        <v>December</v>
      </c>
      <c r="P660" t="str">
        <v>CUST540</v>
      </c>
      <c r="Q660" t="str">
        <v>Female</v>
      </c>
      <c r="R660">
        <v>46</v>
      </c>
      <c r="S660" t="str">
        <v>Electronics</v>
      </c>
      <c r="T660">
        <v>3</v>
      </c>
      <c r="U660">
        <v>300</v>
      </c>
      <c r="V660">
        <v>900</v>
      </c>
      <c r="W660">
        <v>900</v>
      </c>
      <c r="X660">
        <v>2023</v>
      </c>
    </row>
    <row r="661" spans="1:24" x14ac:dyDescent="0.35">
      <c r="A661">
        <v>660</v>
      </c>
      <c r="B661" s="1">
        <v>45045</v>
      </c>
      <c r="C661" s="2" t="s">
        <v>26</v>
      </c>
      <c r="D661" s="2" t="s">
        <v>688</v>
      </c>
      <c r="E661" s="2" t="s">
        <v>18</v>
      </c>
      <c r="F661">
        <v>38</v>
      </c>
      <c r="G661" s="2" t="s">
        <v>15</v>
      </c>
      <c r="H661">
        <v>2</v>
      </c>
      <c r="I661">
        <v>500</v>
      </c>
      <c r="J661">
        <v>1000</v>
      </c>
      <c r="K661">
        <v>1000</v>
      </c>
      <c r="L661">
        <v>2023</v>
      </c>
      <c r="M661">
        <v>541</v>
      </c>
      <c r="N661">
        <v>45136</v>
      </c>
      <c r="O661" t="str">
        <v>July</v>
      </c>
      <c r="P661" t="str">
        <v>CUST541</v>
      </c>
      <c r="Q661" t="str">
        <v>Male</v>
      </c>
      <c r="R661">
        <v>56</v>
      </c>
      <c r="S661" t="str">
        <v>Beauty</v>
      </c>
      <c r="T661">
        <v>1</v>
      </c>
      <c r="U661">
        <v>500</v>
      </c>
      <c r="V661">
        <v>500</v>
      </c>
      <c r="W661">
        <v>500</v>
      </c>
      <c r="X661">
        <v>2023</v>
      </c>
    </row>
    <row r="662" spans="1:24" x14ac:dyDescent="0.35">
      <c r="A662">
        <v>661</v>
      </c>
      <c r="B662" s="1">
        <v>45123</v>
      </c>
      <c r="C662" s="2" t="s">
        <v>70</v>
      </c>
      <c r="D662" s="2" t="s">
        <v>689</v>
      </c>
      <c r="E662" s="2" t="s">
        <v>18</v>
      </c>
      <c r="F662">
        <v>44</v>
      </c>
      <c r="G662" s="2" t="s">
        <v>19</v>
      </c>
      <c r="H662">
        <v>4</v>
      </c>
      <c r="I662">
        <v>25</v>
      </c>
      <c r="J662">
        <v>100</v>
      </c>
      <c r="K662">
        <v>100</v>
      </c>
      <c r="L662">
        <v>2023</v>
      </c>
      <c r="M662">
        <v>542</v>
      </c>
      <c r="N662">
        <v>45094</v>
      </c>
      <c r="O662" t="str">
        <v>June</v>
      </c>
      <c r="P662" t="str">
        <v>CUST542</v>
      </c>
      <c r="Q662" t="str">
        <v>Female</v>
      </c>
      <c r="R662">
        <v>20</v>
      </c>
      <c r="S662" t="str">
        <v>Beauty</v>
      </c>
      <c r="T662">
        <v>1</v>
      </c>
      <c r="U662">
        <v>50</v>
      </c>
      <c r="V662">
        <v>50</v>
      </c>
      <c r="W662">
        <v>50</v>
      </c>
      <c r="X662">
        <v>2023</v>
      </c>
    </row>
    <row r="663" spans="1:24" x14ac:dyDescent="0.35">
      <c r="A663">
        <v>662</v>
      </c>
      <c r="B663" s="1">
        <v>45282</v>
      </c>
      <c r="C663" s="2" t="s">
        <v>31</v>
      </c>
      <c r="D663" s="2" t="s">
        <v>690</v>
      </c>
      <c r="E663" s="2" t="s">
        <v>14</v>
      </c>
      <c r="F663">
        <v>48</v>
      </c>
      <c r="G663" s="2" t="s">
        <v>15</v>
      </c>
      <c r="H663">
        <v>2</v>
      </c>
      <c r="I663">
        <v>500</v>
      </c>
      <c r="J663">
        <v>1000</v>
      </c>
      <c r="K663">
        <v>1000</v>
      </c>
      <c r="L663">
        <v>2023</v>
      </c>
      <c r="M663">
        <v>543</v>
      </c>
      <c r="N663">
        <v>45133</v>
      </c>
      <c r="O663" t="str">
        <v>July</v>
      </c>
      <c r="P663" t="str">
        <v>CUST543</v>
      </c>
      <c r="Q663" t="str">
        <v>Male</v>
      </c>
      <c r="R663">
        <v>49</v>
      </c>
      <c r="S663" t="str">
        <v>Beauty</v>
      </c>
      <c r="T663">
        <v>2</v>
      </c>
      <c r="U663">
        <v>300</v>
      </c>
      <c r="V663">
        <v>600</v>
      </c>
      <c r="W663">
        <v>600</v>
      </c>
      <c r="X663">
        <v>2023</v>
      </c>
    </row>
    <row r="664" spans="1:24" x14ac:dyDescent="0.35">
      <c r="A664">
        <v>663</v>
      </c>
      <c r="B664" s="1">
        <v>45005</v>
      </c>
      <c r="C664" s="2" t="s">
        <v>28</v>
      </c>
      <c r="D664" s="2" t="s">
        <v>691</v>
      </c>
      <c r="E664" s="2" t="s">
        <v>14</v>
      </c>
      <c r="F664">
        <v>23</v>
      </c>
      <c r="G664" s="2" t="s">
        <v>19</v>
      </c>
      <c r="H664">
        <v>4</v>
      </c>
      <c r="I664">
        <v>300</v>
      </c>
      <c r="J664">
        <v>1200</v>
      </c>
      <c r="K664">
        <v>1200</v>
      </c>
      <c r="L664">
        <v>2023</v>
      </c>
      <c r="M664">
        <v>544</v>
      </c>
      <c r="N664">
        <v>45283</v>
      </c>
      <c r="O664" t="str">
        <v>December</v>
      </c>
      <c r="P664" t="str">
        <v>CUST544</v>
      </c>
      <c r="Q664" t="str">
        <v>Female</v>
      </c>
      <c r="R664">
        <v>27</v>
      </c>
      <c r="S664" t="str">
        <v>Electronics</v>
      </c>
      <c r="T664">
        <v>1</v>
      </c>
      <c r="U664">
        <v>25</v>
      </c>
      <c r="V664">
        <v>25</v>
      </c>
      <c r="W664">
        <v>25</v>
      </c>
      <c r="X664">
        <v>2023</v>
      </c>
    </row>
    <row r="665" spans="1:24" x14ac:dyDescent="0.35">
      <c r="A665">
        <v>664</v>
      </c>
      <c r="B665" s="1">
        <v>45288</v>
      </c>
      <c r="C665" s="2" t="s">
        <v>31</v>
      </c>
      <c r="D665" s="2" t="s">
        <v>692</v>
      </c>
      <c r="E665" s="2" t="s">
        <v>18</v>
      </c>
      <c r="F665">
        <v>44</v>
      </c>
      <c r="G665" s="2" t="s">
        <v>19</v>
      </c>
      <c r="H665">
        <v>4</v>
      </c>
      <c r="I665">
        <v>500</v>
      </c>
      <c r="J665">
        <v>2000</v>
      </c>
      <c r="K665">
        <v>2000</v>
      </c>
      <c r="L665">
        <v>2023</v>
      </c>
      <c r="M665">
        <v>545</v>
      </c>
      <c r="N665">
        <v>45078</v>
      </c>
      <c r="O665" t="str">
        <v>June</v>
      </c>
      <c r="P665" t="str">
        <v>CUST545</v>
      </c>
      <c r="Q665" t="str">
        <v>Male</v>
      </c>
      <c r="R665">
        <v>27</v>
      </c>
      <c r="S665" t="str">
        <v>Clothing</v>
      </c>
      <c r="T665">
        <v>2</v>
      </c>
      <c r="U665">
        <v>25</v>
      </c>
      <c r="V665">
        <v>50</v>
      </c>
      <c r="W665">
        <v>50</v>
      </c>
      <c r="X665">
        <v>2023</v>
      </c>
    </row>
    <row r="666" spans="1:24" x14ac:dyDescent="0.35">
      <c r="A666">
        <v>665</v>
      </c>
      <c r="B666" s="1">
        <v>45036</v>
      </c>
      <c r="C666" s="2" t="s">
        <v>26</v>
      </c>
      <c r="D666" s="2" t="s">
        <v>693</v>
      </c>
      <c r="E666" s="2" t="s">
        <v>14</v>
      </c>
      <c r="F666">
        <v>57</v>
      </c>
      <c r="G666" s="2" t="s">
        <v>19</v>
      </c>
      <c r="H666">
        <v>1</v>
      </c>
      <c r="I666">
        <v>50</v>
      </c>
      <c r="J666">
        <v>50</v>
      </c>
      <c r="K666">
        <v>50</v>
      </c>
      <c r="L666">
        <v>2023</v>
      </c>
      <c r="M666">
        <v>546</v>
      </c>
      <c r="N666">
        <v>45210</v>
      </c>
      <c r="O666" t="str">
        <v>October</v>
      </c>
      <c r="P666" t="str">
        <v>CUST546</v>
      </c>
      <c r="Q666" t="str">
        <v>Female</v>
      </c>
      <c r="R666">
        <v>36</v>
      </c>
      <c r="S666" t="str">
        <v>Electronics</v>
      </c>
      <c r="T666">
        <v>4</v>
      </c>
      <c r="U666">
        <v>50</v>
      </c>
      <c r="V666">
        <v>200</v>
      </c>
      <c r="W666">
        <v>200</v>
      </c>
      <c r="X666">
        <v>2023</v>
      </c>
    </row>
    <row r="667" spans="1:24" x14ac:dyDescent="0.35">
      <c r="A667">
        <v>666</v>
      </c>
      <c r="B667" s="1">
        <v>44959</v>
      </c>
      <c r="C667" s="2" t="s">
        <v>16</v>
      </c>
      <c r="D667" s="2" t="s">
        <v>694</v>
      </c>
      <c r="E667" s="2" t="s">
        <v>14</v>
      </c>
      <c r="F667">
        <v>51</v>
      </c>
      <c r="G667" s="2" t="s">
        <v>22</v>
      </c>
      <c r="H667">
        <v>3</v>
      </c>
      <c r="I667">
        <v>50</v>
      </c>
      <c r="J667">
        <v>150</v>
      </c>
      <c r="K667">
        <v>150</v>
      </c>
      <c r="L667">
        <v>2023</v>
      </c>
      <c r="M667">
        <v>547</v>
      </c>
      <c r="N667">
        <v>44992</v>
      </c>
      <c r="O667" t="str">
        <v>March</v>
      </c>
      <c r="P667" t="str">
        <v>CUST547</v>
      </c>
      <c r="Q667" t="str">
        <v>Male</v>
      </c>
      <c r="R667">
        <v>63</v>
      </c>
      <c r="S667" t="str">
        <v>Clothing</v>
      </c>
      <c r="T667">
        <v>4</v>
      </c>
      <c r="U667">
        <v>500</v>
      </c>
      <c r="V667">
        <v>2000</v>
      </c>
      <c r="W667">
        <v>2000</v>
      </c>
      <c r="X667">
        <v>2023</v>
      </c>
    </row>
    <row r="668" spans="1:24" x14ac:dyDescent="0.35">
      <c r="A668">
        <v>667</v>
      </c>
      <c r="B668" s="1">
        <v>45139</v>
      </c>
      <c r="C668" s="2" t="s">
        <v>37</v>
      </c>
      <c r="D668" s="2" t="s">
        <v>695</v>
      </c>
      <c r="E668" s="2" t="s">
        <v>18</v>
      </c>
      <c r="F668">
        <v>29</v>
      </c>
      <c r="G668" s="2" t="s">
        <v>22</v>
      </c>
      <c r="H668">
        <v>1</v>
      </c>
      <c r="I668">
        <v>500</v>
      </c>
      <c r="J668">
        <v>500</v>
      </c>
      <c r="K668">
        <v>500</v>
      </c>
      <c r="L668">
        <v>2023</v>
      </c>
      <c r="M668">
        <v>548</v>
      </c>
      <c r="N668">
        <v>45025</v>
      </c>
      <c r="O668" t="str">
        <v>April</v>
      </c>
      <c r="P668" t="str">
        <v>CUST548</v>
      </c>
      <c r="Q668" t="str">
        <v>Female</v>
      </c>
      <c r="R668">
        <v>51</v>
      </c>
      <c r="S668" t="str">
        <v>Clothing</v>
      </c>
      <c r="T668">
        <v>2</v>
      </c>
      <c r="U668">
        <v>30</v>
      </c>
      <c r="V668">
        <v>60</v>
      </c>
      <c r="W668">
        <v>60</v>
      </c>
      <c r="X668">
        <v>2023</v>
      </c>
    </row>
    <row r="669" spans="1:24" x14ac:dyDescent="0.35">
      <c r="A669">
        <v>668</v>
      </c>
      <c r="B669" s="1">
        <v>45135</v>
      </c>
      <c r="C669" s="2" t="s">
        <v>70</v>
      </c>
      <c r="D669" s="2" t="s">
        <v>696</v>
      </c>
      <c r="E669" s="2" t="s">
        <v>18</v>
      </c>
      <c r="F669">
        <v>62</v>
      </c>
      <c r="G669" s="2" t="s">
        <v>22</v>
      </c>
      <c r="H669">
        <v>3</v>
      </c>
      <c r="I669">
        <v>50</v>
      </c>
      <c r="J669">
        <v>150</v>
      </c>
      <c r="K669">
        <v>150</v>
      </c>
      <c r="L669">
        <v>2023</v>
      </c>
      <c r="M669">
        <v>549</v>
      </c>
      <c r="N669">
        <v>45142</v>
      </c>
      <c r="O669" t="str">
        <v>August</v>
      </c>
      <c r="P669" t="str">
        <v>CUST549</v>
      </c>
      <c r="Q669" t="str">
        <v>Female</v>
      </c>
      <c r="R669">
        <v>50</v>
      </c>
      <c r="S669" t="str">
        <v>Beauty</v>
      </c>
      <c r="T669">
        <v>2</v>
      </c>
      <c r="U669">
        <v>50</v>
      </c>
      <c r="V669">
        <v>100</v>
      </c>
      <c r="W669">
        <v>100</v>
      </c>
      <c r="X669">
        <v>2023</v>
      </c>
    </row>
    <row r="670" spans="1:24" x14ac:dyDescent="0.35">
      <c r="A670">
        <v>669</v>
      </c>
      <c r="B670" s="1">
        <v>45096</v>
      </c>
      <c r="C670" s="2" t="s">
        <v>62</v>
      </c>
      <c r="D670" s="2" t="s">
        <v>697</v>
      </c>
      <c r="E670" s="2" t="s">
        <v>14</v>
      </c>
      <c r="F670">
        <v>24</v>
      </c>
      <c r="G670" s="2" t="s">
        <v>15</v>
      </c>
      <c r="H670">
        <v>4</v>
      </c>
      <c r="I670">
        <v>300</v>
      </c>
      <c r="J670">
        <v>1200</v>
      </c>
      <c r="K670">
        <v>1200</v>
      </c>
      <c r="L670">
        <v>2023</v>
      </c>
      <c r="M670">
        <v>550</v>
      </c>
      <c r="N670">
        <v>45267</v>
      </c>
      <c r="O670" t="str">
        <v>December</v>
      </c>
      <c r="P670" t="str">
        <v>CUST550</v>
      </c>
      <c r="Q670" t="str">
        <v>Male</v>
      </c>
      <c r="R670">
        <v>40</v>
      </c>
      <c r="S670" t="str">
        <v>Clothing</v>
      </c>
      <c r="T670">
        <v>3</v>
      </c>
      <c r="U670">
        <v>300</v>
      </c>
      <c r="V670">
        <v>900</v>
      </c>
      <c r="W670">
        <v>900</v>
      </c>
      <c r="X670">
        <v>2023</v>
      </c>
    </row>
    <row r="671" spans="1:24" x14ac:dyDescent="0.35">
      <c r="A671">
        <v>670</v>
      </c>
      <c r="B671" s="1">
        <v>45204</v>
      </c>
      <c r="C671" s="2" t="s">
        <v>33</v>
      </c>
      <c r="D671" s="2" t="s">
        <v>698</v>
      </c>
      <c r="E671" s="2" t="s">
        <v>14</v>
      </c>
      <c r="F671">
        <v>27</v>
      </c>
      <c r="G671" s="2" t="s">
        <v>15</v>
      </c>
      <c r="H671">
        <v>1</v>
      </c>
      <c r="I671">
        <v>30</v>
      </c>
      <c r="J671">
        <v>30</v>
      </c>
      <c r="K671">
        <v>30</v>
      </c>
      <c r="L671">
        <v>2023</v>
      </c>
      <c r="M671">
        <v>551</v>
      </c>
      <c r="N671">
        <v>45121</v>
      </c>
      <c r="O671" t="str">
        <v>July</v>
      </c>
      <c r="P671" t="str">
        <v>CUST551</v>
      </c>
      <c r="Q671" t="str">
        <v>Male</v>
      </c>
      <c r="R671">
        <v>45</v>
      </c>
      <c r="S671" t="str">
        <v>Electronics</v>
      </c>
      <c r="T671">
        <v>3</v>
      </c>
      <c r="U671">
        <v>300</v>
      </c>
      <c r="V671">
        <v>900</v>
      </c>
      <c r="W671">
        <v>900</v>
      </c>
      <c r="X671">
        <v>2023</v>
      </c>
    </row>
    <row r="672" spans="1:24" x14ac:dyDescent="0.35">
      <c r="A672">
        <v>671</v>
      </c>
      <c r="B672" s="1">
        <v>45165</v>
      </c>
      <c r="C672" s="2" t="s">
        <v>37</v>
      </c>
      <c r="D672" s="2" t="s">
        <v>699</v>
      </c>
      <c r="E672" s="2" t="s">
        <v>14</v>
      </c>
      <c r="F672">
        <v>62</v>
      </c>
      <c r="G672" s="2" t="s">
        <v>22</v>
      </c>
      <c r="H672">
        <v>3</v>
      </c>
      <c r="I672">
        <v>50</v>
      </c>
      <c r="J672">
        <v>150</v>
      </c>
      <c r="K672">
        <v>150</v>
      </c>
      <c r="L672">
        <v>2023</v>
      </c>
      <c r="M672">
        <v>552</v>
      </c>
      <c r="N672">
        <v>45273</v>
      </c>
      <c r="O672" t="str">
        <v>December</v>
      </c>
      <c r="P672" t="str">
        <v>CUST552</v>
      </c>
      <c r="Q672" t="str">
        <v>Female</v>
      </c>
      <c r="R672">
        <v>49</v>
      </c>
      <c r="S672" t="str">
        <v>Electronics</v>
      </c>
      <c r="T672">
        <v>3</v>
      </c>
      <c r="U672">
        <v>25</v>
      </c>
      <c r="V672">
        <v>75</v>
      </c>
      <c r="W672">
        <v>75</v>
      </c>
      <c r="X672">
        <v>2023</v>
      </c>
    </row>
    <row r="673" spans="1:24" x14ac:dyDescent="0.35">
      <c r="A673">
        <v>672</v>
      </c>
      <c r="B673" s="1">
        <v>45139</v>
      </c>
      <c r="C673" s="2" t="s">
        <v>37</v>
      </c>
      <c r="D673" s="2" t="s">
        <v>700</v>
      </c>
      <c r="E673" s="2" t="s">
        <v>18</v>
      </c>
      <c r="F673">
        <v>34</v>
      </c>
      <c r="G673" s="2" t="s">
        <v>15</v>
      </c>
      <c r="H673">
        <v>2</v>
      </c>
      <c r="I673">
        <v>50</v>
      </c>
      <c r="J673">
        <v>100</v>
      </c>
      <c r="K673">
        <v>100</v>
      </c>
      <c r="L673">
        <v>2023</v>
      </c>
      <c r="M673">
        <v>553</v>
      </c>
      <c r="N673">
        <v>45016</v>
      </c>
      <c r="O673" t="str">
        <v>March</v>
      </c>
      <c r="P673" t="str">
        <v>CUST553</v>
      </c>
      <c r="Q673" t="str">
        <v>Male</v>
      </c>
      <c r="R673">
        <v>24</v>
      </c>
      <c r="S673" t="str">
        <v>Clothing</v>
      </c>
      <c r="T673">
        <v>4</v>
      </c>
      <c r="U673">
        <v>300</v>
      </c>
      <c r="V673">
        <v>1200</v>
      </c>
      <c r="W673">
        <v>1200</v>
      </c>
      <c r="X673">
        <v>2023</v>
      </c>
    </row>
    <row r="674" spans="1:24" x14ac:dyDescent="0.35">
      <c r="A674">
        <v>673</v>
      </c>
      <c r="B674" s="1">
        <v>44958</v>
      </c>
      <c r="C674" s="2" t="s">
        <v>16</v>
      </c>
      <c r="D674" s="2" t="s">
        <v>701</v>
      </c>
      <c r="E674" s="2" t="s">
        <v>18</v>
      </c>
      <c r="F674">
        <v>43</v>
      </c>
      <c r="G674" s="2" t="s">
        <v>19</v>
      </c>
      <c r="H674">
        <v>3</v>
      </c>
      <c r="I674">
        <v>500</v>
      </c>
      <c r="J674">
        <v>1500</v>
      </c>
      <c r="K674">
        <v>1500</v>
      </c>
      <c r="L674">
        <v>2023</v>
      </c>
      <c r="M674">
        <v>554</v>
      </c>
      <c r="N674">
        <v>45242</v>
      </c>
      <c r="O674" t="str">
        <v>November</v>
      </c>
      <c r="P674" t="str">
        <v>CUST554</v>
      </c>
      <c r="Q674" t="str">
        <v>Female</v>
      </c>
      <c r="R674">
        <v>46</v>
      </c>
      <c r="S674" t="str">
        <v>Beauty</v>
      </c>
      <c r="T674">
        <v>3</v>
      </c>
      <c r="U674">
        <v>50</v>
      </c>
      <c r="V674">
        <v>150</v>
      </c>
      <c r="W674">
        <v>150</v>
      </c>
      <c r="X674">
        <v>2023</v>
      </c>
    </row>
    <row r="675" spans="1:24" x14ac:dyDescent="0.35">
      <c r="A675">
        <v>674</v>
      </c>
      <c r="B675" s="1">
        <v>45032</v>
      </c>
      <c r="C675" s="2" t="s">
        <v>26</v>
      </c>
      <c r="D675" s="2" t="s">
        <v>702</v>
      </c>
      <c r="E675" s="2" t="s">
        <v>18</v>
      </c>
      <c r="F675">
        <v>38</v>
      </c>
      <c r="G675" s="2" t="s">
        <v>19</v>
      </c>
      <c r="H675">
        <v>1</v>
      </c>
      <c r="I675">
        <v>300</v>
      </c>
      <c r="J675">
        <v>300</v>
      </c>
      <c r="K675">
        <v>300</v>
      </c>
      <c r="L675">
        <v>2023</v>
      </c>
      <c r="M675">
        <v>555</v>
      </c>
      <c r="N675">
        <v>45218</v>
      </c>
      <c r="O675" t="str">
        <v>October</v>
      </c>
      <c r="P675" t="str">
        <v>CUST555</v>
      </c>
      <c r="Q675" t="str">
        <v>Male</v>
      </c>
      <c r="R675">
        <v>25</v>
      </c>
      <c r="S675" t="str">
        <v>Beauty</v>
      </c>
      <c r="T675">
        <v>1</v>
      </c>
      <c r="U675">
        <v>300</v>
      </c>
      <c r="V675">
        <v>300</v>
      </c>
      <c r="W675">
        <v>300</v>
      </c>
      <c r="X675">
        <v>2023</v>
      </c>
    </row>
    <row r="676" spans="1:24" x14ac:dyDescent="0.35">
      <c r="A676">
        <v>675</v>
      </c>
      <c r="B676" s="1">
        <v>45142</v>
      </c>
      <c r="C676" s="2" t="s">
        <v>37</v>
      </c>
      <c r="D676" s="2" t="s">
        <v>703</v>
      </c>
      <c r="E676" s="2" t="s">
        <v>18</v>
      </c>
      <c r="F676">
        <v>45</v>
      </c>
      <c r="G676" s="2" t="s">
        <v>19</v>
      </c>
      <c r="H676">
        <v>2</v>
      </c>
      <c r="I676">
        <v>30</v>
      </c>
      <c r="J676">
        <v>60</v>
      </c>
      <c r="K676">
        <v>60</v>
      </c>
      <c r="L676">
        <v>2023</v>
      </c>
      <c r="M676">
        <v>556</v>
      </c>
      <c r="N676">
        <v>45081</v>
      </c>
      <c r="O676" t="str">
        <v>June</v>
      </c>
      <c r="P676" t="str">
        <v>CUST556</v>
      </c>
      <c r="Q676" t="str">
        <v>Female</v>
      </c>
      <c r="R676">
        <v>18</v>
      </c>
      <c r="S676" t="str">
        <v>Electronics</v>
      </c>
      <c r="T676">
        <v>1</v>
      </c>
      <c r="U676">
        <v>50</v>
      </c>
      <c r="V676">
        <v>50</v>
      </c>
      <c r="W676">
        <v>50</v>
      </c>
      <c r="X676">
        <v>2023</v>
      </c>
    </row>
    <row r="677" spans="1:24" x14ac:dyDescent="0.35">
      <c r="A677">
        <v>676</v>
      </c>
      <c r="B677" s="1">
        <v>45126</v>
      </c>
      <c r="C677" s="2" t="s">
        <v>70</v>
      </c>
      <c r="D677" s="2" t="s">
        <v>704</v>
      </c>
      <c r="E677" s="2" t="s">
        <v>14</v>
      </c>
      <c r="F677">
        <v>63</v>
      </c>
      <c r="G677" s="2" t="s">
        <v>22</v>
      </c>
      <c r="H677">
        <v>3</v>
      </c>
      <c r="I677">
        <v>500</v>
      </c>
      <c r="J677">
        <v>1500</v>
      </c>
      <c r="K677">
        <v>1500</v>
      </c>
      <c r="L677">
        <v>2023</v>
      </c>
      <c r="M677">
        <v>557</v>
      </c>
      <c r="N677">
        <v>45134</v>
      </c>
      <c r="O677" t="str">
        <v>July</v>
      </c>
      <c r="P677" t="str">
        <v>CUST557</v>
      </c>
      <c r="Q677" t="str">
        <v>Female</v>
      </c>
      <c r="R677">
        <v>20</v>
      </c>
      <c r="S677" t="str">
        <v>Beauty</v>
      </c>
      <c r="T677">
        <v>3</v>
      </c>
      <c r="U677">
        <v>30</v>
      </c>
      <c r="V677">
        <v>90</v>
      </c>
      <c r="W677">
        <v>90</v>
      </c>
      <c r="X677">
        <v>2023</v>
      </c>
    </row>
    <row r="678" spans="1:24" x14ac:dyDescent="0.35">
      <c r="A678">
        <v>677</v>
      </c>
      <c r="B678" s="1">
        <v>45226</v>
      </c>
      <c r="C678" s="2" t="s">
        <v>33</v>
      </c>
      <c r="D678" s="2" t="s">
        <v>705</v>
      </c>
      <c r="E678" s="2" t="s">
        <v>18</v>
      </c>
      <c r="F678">
        <v>19</v>
      </c>
      <c r="G678" s="2" t="s">
        <v>15</v>
      </c>
      <c r="H678">
        <v>3</v>
      </c>
      <c r="I678">
        <v>500</v>
      </c>
      <c r="J678">
        <v>1500</v>
      </c>
      <c r="K678">
        <v>1500</v>
      </c>
      <c r="L678">
        <v>2023</v>
      </c>
      <c r="M678">
        <v>558</v>
      </c>
      <c r="N678">
        <v>45207</v>
      </c>
      <c r="O678" t="str">
        <v>October</v>
      </c>
      <c r="P678" t="str">
        <v>CUST558</v>
      </c>
      <c r="Q678" t="str">
        <v>Female</v>
      </c>
      <c r="R678">
        <v>41</v>
      </c>
      <c r="S678" t="str">
        <v>Clothing</v>
      </c>
      <c r="T678">
        <v>1</v>
      </c>
      <c r="U678">
        <v>25</v>
      </c>
      <c r="V678">
        <v>25</v>
      </c>
      <c r="W678">
        <v>25</v>
      </c>
      <c r="X678">
        <v>2023</v>
      </c>
    </row>
    <row r="679" spans="1:24" x14ac:dyDescent="0.35">
      <c r="A679">
        <v>678</v>
      </c>
      <c r="B679" s="1">
        <v>45283</v>
      </c>
      <c r="C679" s="2" t="s">
        <v>31</v>
      </c>
      <c r="D679" s="2" t="s">
        <v>706</v>
      </c>
      <c r="E679" s="2" t="s">
        <v>18</v>
      </c>
      <c r="F679">
        <v>60</v>
      </c>
      <c r="G679" s="2" t="s">
        <v>22</v>
      </c>
      <c r="H679">
        <v>3</v>
      </c>
      <c r="I679">
        <v>300</v>
      </c>
      <c r="J679">
        <v>900</v>
      </c>
      <c r="K679">
        <v>900</v>
      </c>
      <c r="L679">
        <v>2023</v>
      </c>
      <c r="M679">
        <v>559</v>
      </c>
      <c r="N679">
        <v>44927</v>
      </c>
      <c r="O679" t="str">
        <v>January</v>
      </c>
      <c r="P679" t="str">
        <v>CUST559</v>
      </c>
      <c r="Q679" t="str">
        <v>Female</v>
      </c>
      <c r="R679">
        <v>40</v>
      </c>
      <c r="S679" t="str">
        <v>Clothing</v>
      </c>
      <c r="T679">
        <v>4</v>
      </c>
      <c r="U679">
        <v>300</v>
      </c>
      <c r="V679">
        <v>1200</v>
      </c>
      <c r="W679">
        <v>1200</v>
      </c>
      <c r="X679">
        <v>2023</v>
      </c>
    </row>
    <row r="680" spans="1:24" x14ac:dyDescent="0.35">
      <c r="A680">
        <v>679</v>
      </c>
      <c r="B680" s="1">
        <v>44937</v>
      </c>
      <c r="C680" s="2" t="s">
        <v>20</v>
      </c>
      <c r="D680" s="2" t="s">
        <v>707</v>
      </c>
      <c r="E680" s="2" t="s">
        <v>18</v>
      </c>
      <c r="F680">
        <v>18</v>
      </c>
      <c r="G680" s="2" t="s">
        <v>15</v>
      </c>
      <c r="H680">
        <v>3</v>
      </c>
      <c r="I680">
        <v>30</v>
      </c>
      <c r="J680">
        <v>90</v>
      </c>
      <c r="K680">
        <v>90</v>
      </c>
      <c r="L680">
        <v>2023</v>
      </c>
      <c r="M680">
        <v>560</v>
      </c>
      <c r="N680">
        <v>45082</v>
      </c>
      <c r="O680" t="str">
        <v>June</v>
      </c>
      <c r="P680" t="str">
        <v>CUST560</v>
      </c>
      <c r="Q680" t="str">
        <v>Female</v>
      </c>
      <c r="R680">
        <v>25</v>
      </c>
      <c r="S680" t="str">
        <v>Electronics</v>
      </c>
      <c r="T680">
        <v>1</v>
      </c>
      <c r="U680">
        <v>50</v>
      </c>
      <c r="V680">
        <v>50</v>
      </c>
      <c r="W680">
        <v>50</v>
      </c>
      <c r="X680">
        <v>2023</v>
      </c>
    </row>
    <row r="681" spans="1:24" x14ac:dyDescent="0.35">
      <c r="A681">
        <v>680</v>
      </c>
      <c r="B681" s="1">
        <v>45221</v>
      </c>
      <c r="C681" s="2" t="s">
        <v>33</v>
      </c>
      <c r="D681" s="2" t="s">
        <v>708</v>
      </c>
      <c r="E681" s="2" t="s">
        <v>18</v>
      </c>
      <c r="F681">
        <v>53</v>
      </c>
      <c r="G681" s="2" t="s">
        <v>19</v>
      </c>
      <c r="H681">
        <v>3</v>
      </c>
      <c r="I681">
        <v>300</v>
      </c>
      <c r="J681">
        <v>900</v>
      </c>
      <c r="K681">
        <v>900</v>
      </c>
      <c r="L681">
        <v>2023</v>
      </c>
      <c r="M681">
        <v>561</v>
      </c>
      <c r="N681">
        <v>45073</v>
      </c>
      <c r="O681" t="str">
        <v>May</v>
      </c>
      <c r="P681" t="str">
        <v>CUST561</v>
      </c>
      <c r="Q681" t="str">
        <v>Female</v>
      </c>
      <c r="R681">
        <v>64</v>
      </c>
      <c r="S681" t="str">
        <v>Clothing</v>
      </c>
      <c r="T681">
        <v>4</v>
      </c>
      <c r="U681">
        <v>500</v>
      </c>
      <c r="V681">
        <v>2000</v>
      </c>
      <c r="W681">
        <v>2000</v>
      </c>
      <c r="X681">
        <v>2023</v>
      </c>
    </row>
    <row r="682" spans="1:24" x14ac:dyDescent="0.35">
      <c r="A682">
        <v>681</v>
      </c>
      <c r="B682" s="1">
        <v>45121</v>
      </c>
      <c r="C682" s="2" t="s">
        <v>70</v>
      </c>
      <c r="D682" s="2" t="s">
        <v>709</v>
      </c>
      <c r="E682" s="2" t="s">
        <v>18</v>
      </c>
      <c r="F682">
        <v>43</v>
      </c>
      <c r="G682" s="2" t="s">
        <v>22</v>
      </c>
      <c r="H682">
        <v>2</v>
      </c>
      <c r="I682">
        <v>30</v>
      </c>
      <c r="J682">
        <v>60</v>
      </c>
      <c r="K682">
        <v>60</v>
      </c>
      <c r="L682">
        <v>2023</v>
      </c>
      <c r="M682">
        <v>562</v>
      </c>
      <c r="N682">
        <v>45034</v>
      </c>
      <c r="O682" t="str">
        <v>April</v>
      </c>
      <c r="P682" t="str">
        <v>CUST562</v>
      </c>
      <c r="Q682" t="str">
        <v>Male</v>
      </c>
      <c r="R682">
        <v>54</v>
      </c>
      <c r="S682" t="str">
        <v>Electronics</v>
      </c>
      <c r="T682">
        <v>2</v>
      </c>
      <c r="U682">
        <v>25</v>
      </c>
      <c r="V682">
        <v>50</v>
      </c>
      <c r="W682">
        <v>50</v>
      </c>
      <c r="X682">
        <v>2023</v>
      </c>
    </row>
    <row r="683" spans="1:24" x14ac:dyDescent="0.35">
      <c r="A683">
        <v>682</v>
      </c>
      <c r="B683" s="1">
        <v>45171</v>
      </c>
      <c r="C683" s="2" t="s">
        <v>44</v>
      </c>
      <c r="D683" s="2" t="s">
        <v>710</v>
      </c>
      <c r="E683" s="2" t="s">
        <v>14</v>
      </c>
      <c r="F683">
        <v>46</v>
      </c>
      <c r="G683" s="2" t="s">
        <v>15</v>
      </c>
      <c r="H683">
        <v>4</v>
      </c>
      <c r="I683">
        <v>300</v>
      </c>
      <c r="J683">
        <v>1200</v>
      </c>
      <c r="K683">
        <v>1200</v>
      </c>
      <c r="L683">
        <v>2023</v>
      </c>
      <c r="M683">
        <v>563</v>
      </c>
      <c r="N683">
        <v>45147</v>
      </c>
      <c r="O683" t="str">
        <v>August</v>
      </c>
      <c r="P683" t="str">
        <v>CUST563</v>
      </c>
      <c r="Q683" t="str">
        <v>Male</v>
      </c>
      <c r="R683">
        <v>20</v>
      </c>
      <c r="S683" t="str">
        <v>Clothing</v>
      </c>
      <c r="T683">
        <v>2</v>
      </c>
      <c r="U683">
        <v>30</v>
      </c>
      <c r="V683">
        <v>60</v>
      </c>
      <c r="W683">
        <v>60</v>
      </c>
      <c r="X683">
        <v>2023</v>
      </c>
    </row>
    <row r="684" spans="1:24" x14ac:dyDescent="0.35">
      <c r="A684">
        <v>683</v>
      </c>
      <c r="B684" s="1">
        <v>44930</v>
      </c>
      <c r="C684" s="2" t="s">
        <v>20</v>
      </c>
      <c r="D684" s="2" t="s">
        <v>711</v>
      </c>
      <c r="E684" s="2" t="s">
        <v>14</v>
      </c>
      <c r="F684">
        <v>38</v>
      </c>
      <c r="G684" s="2" t="s">
        <v>15</v>
      </c>
      <c r="H684">
        <v>2</v>
      </c>
      <c r="I684">
        <v>500</v>
      </c>
      <c r="J684">
        <v>1000</v>
      </c>
      <c r="K684">
        <v>1000</v>
      </c>
      <c r="L684">
        <v>2023</v>
      </c>
      <c r="M684">
        <v>564</v>
      </c>
      <c r="N684">
        <v>45223</v>
      </c>
      <c r="O684" t="str">
        <v>October</v>
      </c>
      <c r="P684" t="str">
        <v>CUST564</v>
      </c>
      <c r="Q684" t="str">
        <v>Male</v>
      </c>
      <c r="R684">
        <v>50</v>
      </c>
      <c r="S684" t="str">
        <v>Electronics</v>
      </c>
      <c r="T684">
        <v>2</v>
      </c>
      <c r="U684">
        <v>50</v>
      </c>
      <c r="V684">
        <v>100</v>
      </c>
      <c r="W684">
        <v>100</v>
      </c>
      <c r="X684">
        <v>2023</v>
      </c>
    </row>
    <row r="685" spans="1:24" x14ac:dyDescent="0.35">
      <c r="A685">
        <v>684</v>
      </c>
      <c r="B685" s="1">
        <v>45107</v>
      </c>
      <c r="C685" s="2" t="s">
        <v>62</v>
      </c>
      <c r="D685" s="2" t="s">
        <v>712</v>
      </c>
      <c r="E685" s="2" t="s">
        <v>18</v>
      </c>
      <c r="F685">
        <v>28</v>
      </c>
      <c r="G685" s="2" t="s">
        <v>19</v>
      </c>
      <c r="H685">
        <v>2</v>
      </c>
      <c r="I685">
        <v>500</v>
      </c>
      <c r="J685">
        <v>1000</v>
      </c>
      <c r="K685">
        <v>1000</v>
      </c>
      <c r="L685">
        <v>2023</v>
      </c>
      <c r="M685">
        <v>565</v>
      </c>
      <c r="N685">
        <v>45237</v>
      </c>
      <c r="O685" t="str">
        <v>November</v>
      </c>
      <c r="P685" t="str">
        <v>CUST565</v>
      </c>
      <c r="Q685" t="str">
        <v>Female</v>
      </c>
      <c r="R685">
        <v>45</v>
      </c>
      <c r="S685" t="str">
        <v>Beauty</v>
      </c>
      <c r="T685">
        <v>2</v>
      </c>
      <c r="U685">
        <v>30</v>
      </c>
      <c r="V685">
        <v>60</v>
      </c>
      <c r="W685">
        <v>60</v>
      </c>
      <c r="X685">
        <v>2023</v>
      </c>
    </row>
    <row r="686" spans="1:24" x14ac:dyDescent="0.35">
      <c r="A686">
        <v>685</v>
      </c>
      <c r="B686" s="1">
        <v>45079</v>
      </c>
      <c r="C686" s="2" t="s">
        <v>62</v>
      </c>
      <c r="D686" s="2" t="s">
        <v>713</v>
      </c>
      <c r="E686" s="2" t="s">
        <v>14</v>
      </c>
      <c r="F686">
        <v>57</v>
      </c>
      <c r="G686" s="2" t="s">
        <v>22</v>
      </c>
      <c r="H686">
        <v>2</v>
      </c>
      <c r="I686">
        <v>25</v>
      </c>
      <c r="J686">
        <v>50</v>
      </c>
      <c r="K686">
        <v>50</v>
      </c>
      <c r="L686">
        <v>2023</v>
      </c>
      <c r="M686">
        <v>566</v>
      </c>
      <c r="N686">
        <v>45262</v>
      </c>
      <c r="O686" t="str">
        <v>December</v>
      </c>
      <c r="P686" t="str">
        <v>CUST566</v>
      </c>
      <c r="Q686" t="str">
        <v>Female</v>
      </c>
      <c r="R686">
        <v>64</v>
      </c>
      <c r="S686" t="str">
        <v>Clothing</v>
      </c>
      <c r="T686">
        <v>1</v>
      </c>
      <c r="U686">
        <v>30</v>
      </c>
      <c r="V686">
        <v>30</v>
      </c>
      <c r="W686">
        <v>30</v>
      </c>
      <c r="X686">
        <v>2023</v>
      </c>
    </row>
    <row r="687" spans="1:24" x14ac:dyDescent="0.35">
      <c r="A687">
        <v>686</v>
      </c>
      <c r="B687" s="1">
        <v>45126</v>
      </c>
      <c r="C687" s="2" t="s">
        <v>70</v>
      </c>
      <c r="D687" s="2" t="s">
        <v>714</v>
      </c>
      <c r="E687" s="2" t="s">
        <v>18</v>
      </c>
      <c r="F687">
        <v>28</v>
      </c>
      <c r="G687" s="2" t="s">
        <v>22</v>
      </c>
      <c r="H687">
        <v>4</v>
      </c>
      <c r="I687">
        <v>50</v>
      </c>
      <c r="J687">
        <v>200</v>
      </c>
      <c r="K687">
        <v>200</v>
      </c>
      <c r="L687">
        <v>2023</v>
      </c>
      <c r="M687">
        <v>567</v>
      </c>
      <c r="N687">
        <v>45091</v>
      </c>
      <c r="O687" t="str">
        <v>June</v>
      </c>
      <c r="P687" t="str">
        <v>CUST567</v>
      </c>
      <c r="Q687" t="str">
        <v>Female</v>
      </c>
      <c r="R687">
        <v>25</v>
      </c>
      <c r="S687" t="str">
        <v>Clothing</v>
      </c>
      <c r="T687">
        <v>3</v>
      </c>
      <c r="U687">
        <v>300</v>
      </c>
      <c r="V687">
        <v>900</v>
      </c>
      <c r="W687">
        <v>900</v>
      </c>
      <c r="X687">
        <v>2023</v>
      </c>
    </row>
    <row r="688" spans="1:24" x14ac:dyDescent="0.35">
      <c r="A688">
        <v>687</v>
      </c>
      <c r="B688" s="1">
        <v>45141</v>
      </c>
      <c r="C688" s="2" t="s">
        <v>37</v>
      </c>
      <c r="D688" s="2" t="s">
        <v>715</v>
      </c>
      <c r="E688" s="2" t="s">
        <v>18</v>
      </c>
      <c r="F688">
        <v>53</v>
      </c>
      <c r="G688" s="2" t="s">
        <v>22</v>
      </c>
      <c r="H688">
        <v>1</v>
      </c>
      <c r="I688">
        <v>300</v>
      </c>
      <c r="J688">
        <v>300</v>
      </c>
      <c r="K688">
        <v>300</v>
      </c>
      <c r="L688">
        <v>2023</v>
      </c>
      <c r="M688">
        <v>568</v>
      </c>
      <c r="N688">
        <v>45165</v>
      </c>
      <c r="O688" t="str">
        <v>August</v>
      </c>
      <c r="P688" t="str">
        <v>CUST568</v>
      </c>
      <c r="Q688" t="str">
        <v>Female</v>
      </c>
      <c r="R688">
        <v>51</v>
      </c>
      <c r="S688" t="str">
        <v>Electronics</v>
      </c>
      <c r="T688">
        <v>1</v>
      </c>
      <c r="U688">
        <v>300</v>
      </c>
      <c r="V688">
        <v>300</v>
      </c>
      <c r="W688">
        <v>300</v>
      </c>
      <c r="X688">
        <v>2023</v>
      </c>
    </row>
    <row r="689" spans="1:24" x14ac:dyDescent="0.35">
      <c r="A689">
        <v>688</v>
      </c>
      <c r="B689" s="1">
        <v>45202</v>
      </c>
      <c r="C689" s="2" t="s">
        <v>33</v>
      </c>
      <c r="D689" s="2" t="s">
        <v>716</v>
      </c>
      <c r="E689" s="2" t="s">
        <v>14</v>
      </c>
      <c r="F689">
        <v>56</v>
      </c>
      <c r="G689" s="2" t="s">
        <v>19</v>
      </c>
      <c r="H689">
        <v>4</v>
      </c>
      <c r="I689">
        <v>25</v>
      </c>
      <c r="J689">
        <v>100</v>
      </c>
      <c r="K689">
        <v>100</v>
      </c>
      <c r="L689">
        <v>2023</v>
      </c>
      <c r="M689">
        <v>569</v>
      </c>
      <c r="N689">
        <v>45153</v>
      </c>
      <c r="O689" t="str">
        <v>August</v>
      </c>
      <c r="P689" t="str">
        <v>CUST569</v>
      </c>
      <c r="Q689" t="str">
        <v>Male</v>
      </c>
      <c r="R689">
        <v>52</v>
      </c>
      <c r="S689" t="str">
        <v>Electronics</v>
      </c>
      <c r="T689">
        <v>4</v>
      </c>
      <c r="U689">
        <v>50</v>
      </c>
      <c r="V689">
        <v>200</v>
      </c>
      <c r="W689">
        <v>200</v>
      </c>
      <c r="X689">
        <v>2023</v>
      </c>
    </row>
    <row r="690" spans="1:24" x14ac:dyDescent="0.35">
      <c r="A690">
        <v>689</v>
      </c>
      <c r="B690" s="1">
        <v>45206</v>
      </c>
      <c r="C690" s="2" t="s">
        <v>33</v>
      </c>
      <c r="D690" s="2" t="s">
        <v>717</v>
      </c>
      <c r="E690" s="2" t="s">
        <v>14</v>
      </c>
      <c r="F690">
        <v>57</v>
      </c>
      <c r="G690" s="2" t="s">
        <v>22</v>
      </c>
      <c r="H690">
        <v>2</v>
      </c>
      <c r="I690">
        <v>50</v>
      </c>
      <c r="J690">
        <v>100</v>
      </c>
      <c r="K690">
        <v>100</v>
      </c>
      <c r="L690">
        <v>2023</v>
      </c>
      <c r="M690">
        <v>570</v>
      </c>
      <c r="N690">
        <v>45153</v>
      </c>
      <c r="O690" t="str">
        <v>August</v>
      </c>
      <c r="P690" t="str">
        <v>CUST570</v>
      </c>
      <c r="Q690" t="str">
        <v>Male</v>
      </c>
      <c r="R690">
        <v>49</v>
      </c>
      <c r="S690" t="str">
        <v>Clothing</v>
      </c>
      <c r="T690">
        <v>1</v>
      </c>
      <c r="U690">
        <v>500</v>
      </c>
      <c r="V690">
        <v>500</v>
      </c>
      <c r="W690">
        <v>500</v>
      </c>
      <c r="X690">
        <v>2023</v>
      </c>
    </row>
    <row r="691" spans="1:24" x14ac:dyDescent="0.35">
      <c r="A691">
        <v>690</v>
      </c>
      <c r="B691" s="1">
        <v>45235</v>
      </c>
      <c r="C691" s="2" t="s">
        <v>12</v>
      </c>
      <c r="D691" s="2" t="s">
        <v>718</v>
      </c>
      <c r="E691" s="2" t="s">
        <v>18</v>
      </c>
      <c r="F691">
        <v>52</v>
      </c>
      <c r="G691" s="2" t="s">
        <v>19</v>
      </c>
      <c r="H691">
        <v>3</v>
      </c>
      <c r="I691">
        <v>300</v>
      </c>
      <c r="J691">
        <v>900</v>
      </c>
      <c r="K691">
        <v>900</v>
      </c>
      <c r="L691">
        <v>2023</v>
      </c>
      <c r="M691">
        <v>571</v>
      </c>
      <c r="N691">
        <v>45272</v>
      </c>
      <c r="O691" t="str">
        <v>December</v>
      </c>
      <c r="P691" t="str">
        <v>CUST571</v>
      </c>
      <c r="Q691" t="str">
        <v>Female</v>
      </c>
      <c r="R691">
        <v>41</v>
      </c>
      <c r="S691" t="str">
        <v>Electronics</v>
      </c>
      <c r="T691">
        <v>1</v>
      </c>
      <c r="U691">
        <v>50</v>
      </c>
      <c r="V691">
        <v>50</v>
      </c>
      <c r="W691">
        <v>50</v>
      </c>
      <c r="X691">
        <v>2023</v>
      </c>
    </row>
    <row r="692" spans="1:24" x14ac:dyDescent="0.35">
      <c r="A692">
        <v>691</v>
      </c>
      <c r="B692" s="1">
        <v>45039</v>
      </c>
      <c r="C692" s="2" t="s">
        <v>26</v>
      </c>
      <c r="D692" s="2" t="s">
        <v>719</v>
      </c>
      <c r="E692" s="2" t="s">
        <v>18</v>
      </c>
      <c r="F692">
        <v>51</v>
      </c>
      <c r="G692" s="2" t="s">
        <v>19</v>
      </c>
      <c r="H692">
        <v>3</v>
      </c>
      <c r="I692">
        <v>30</v>
      </c>
      <c r="J692">
        <v>90</v>
      </c>
      <c r="K692">
        <v>90</v>
      </c>
      <c r="L692">
        <v>2023</v>
      </c>
      <c r="M692">
        <v>572</v>
      </c>
      <c r="N692">
        <v>45036</v>
      </c>
      <c r="O692" t="str">
        <v>April</v>
      </c>
      <c r="P692" t="str">
        <v>CUST572</v>
      </c>
      <c r="Q692" t="str">
        <v>Male</v>
      </c>
      <c r="R692">
        <v>31</v>
      </c>
      <c r="S692" t="str">
        <v>Clothing</v>
      </c>
      <c r="T692">
        <v>4</v>
      </c>
      <c r="U692">
        <v>500</v>
      </c>
      <c r="V692">
        <v>2000</v>
      </c>
      <c r="W692">
        <v>2000</v>
      </c>
      <c r="X692">
        <v>2023</v>
      </c>
    </row>
    <row r="693" spans="1:24" x14ac:dyDescent="0.35">
      <c r="A693">
        <v>692</v>
      </c>
      <c r="B693" s="1">
        <v>45176</v>
      </c>
      <c r="C693" s="2" t="s">
        <v>44</v>
      </c>
      <c r="D693" s="2" t="s">
        <v>720</v>
      </c>
      <c r="E693" s="2" t="s">
        <v>18</v>
      </c>
      <c r="F693">
        <v>64</v>
      </c>
      <c r="G693" s="2" t="s">
        <v>19</v>
      </c>
      <c r="H693">
        <v>2</v>
      </c>
      <c r="I693">
        <v>50</v>
      </c>
      <c r="J693">
        <v>100</v>
      </c>
      <c r="K693">
        <v>100</v>
      </c>
      <c r="L693">
        <v>2023</v>
      </c>
      <c r="M693">
        <v>573</v>
      </c>
      <c r="N693">
        <v>45188</v>
      </c>
      <c r="O693" t="str">
        <v>September</v>
      </c>
      <c r="P693" t="str">
        <v>CUST573</v>
      </c>
      <c r="Q693" t="str">
        <v>Male</v>
      </c>
      <c r="R693">
        <v>49</v>
      </c>
      <c r="S693" t="str">
        <v>Beauty</v>
      </c>
      <c r="T693">
        <v>2</v>
      </c>
      <c r="U693">
        <v>30</v>
      </c>
      <c r="V693">
        <v>60</v>
      </c>
      <c r="W693">
        <v>60</v>
      </c>
      <c r="X693">
        <v>2023</v>
      </c>
    </row>
    <row r="694" spans="1:24" x14ac:dyDescent="0.35">
      <c r="A694">
        <v>693</v>
      </c>
      <c r="B694" s="1">
        <v>45039</v>
      </c>
      <c r="C694" s="2" t="s">
        <v>26</v>
      </c>
      <c r="D694" s="2" t="s">
        <v>721</v>
      </c>
      <c r="E694" s="2" t="s">
        <v>14</v>
      </c>
      <c r="F694">
        <v>41</v>
      </c>
      <c r="G694" s="2" t="s">
        <v>15</v>
      </c>
      <c r="H694">
        <v>3</v>
      </c>
      <c r="I694">
        <v>500</v>
      </c>
      <c r="J694">
        <v>1500</v>
      </c>
      <c r="K694">
        <v>1500</v>
      </c>
      <c r="L694">
        <v>2023</v>
      </c>
      <c r="M694">
        <v>574</v>
      </c>
      <c r="N694">
        <v>45169</v>
      </c>
      <c r="O694" t="str">
        <v>August</v>
      </c>
      <c r="P694" t="str">
        <v>CUST574</v>
      </c>
      <c r="Q694" t="str">
        <v>Female</v>
      </c>
      <c r="R694">
        <v>63</v>
      </c>
      <c r="S694" t="str">
        <v>Electronics</v>
      </c>
      <c r="T694">
        <v>2</v>
      </c>
      <c r="U694">
        <v>25</v>
      </c>
      <c r="V694">
        <v>50</v>
      </c>
      <c r="W694">
        <v>50</v>
      </c>
      <c r="X694">
        <v>2023</v>
      </c>
    </row>
    <row r="695" spans="1:24" x14ac:dyDescent="0.35">
      <c r="A695">
        <v>694</v>
      </c>
      <c r="B695" s="1">
        <v>45066</v>
      </c>
      <c r="C695" s="2" t="s">
        <v>23</v>
      </c>
      <c r="D695" s="2" t="s">
        <v>722</v>
      </c>
      <c r="E695" s="2" t="s">
        <v>18</v>
      </c>
      <c r="F695">
        <v>39</v>
      </c>
      <c r="G695" s="2" t="s">
        <v>22</v>
      </c>
      <c r="H695">
        <v>2</v>
      </c>
      <c r="I695">
        <v>25</v>
      </c>
      <c r="J695">
        <v>50</v>
      </c>
      <c r="K695">
        <v>50</v>
      </c>
      <c r="L695">
        <v>2023</v>
      </c>
      <c r="M695">
        <v>575</v>
      </c>
      <c r="N695">
        <v>45013</v>
      </c>
      <c r="O695" t="str">
        <v>March</v>
      </c>
      <c r="P695" t="str">
        <v>CUST575</v>
      </c>
      <c r="Q695" t="str">
        <v>Male</v>
      </c>
      <c r="R695">
        <v>60</v>
      </c>
      <c r="S695" t="str">
        <v>Clothing</v>
      </c>
      <c r="T695">
        <v>2</v>
      </c>
      <c r="U695">
        <v>50</v>
      </c>
      <c r="V695">
        <v>100</v>
      </c>
      <c r="W695">
        <v>100</v>
      </c>
      <c r="X695">
        <v>2023</v>
      </c>
    </row>
    <row r="696" spans="1:24" x14ac:dyDescent="0.35">
      <c r="A696">
        <v>695</v>
      </c>
      <c r="B696" s="1">
        <v>45150</v>
      </c>
      <c r="C696" s="2" t="s">
        <v>37</v>
      </c>
      <c r="D696" s="2" t="s">
        <v>723</v>
      </c>
      <c r="E696" s="2" t="s">
        <v>18</v>
      </c>
      <c r="F696">
        <v>22</v>
      </c>
      <c r="G696" s="2" t="s">
        <v>22</v>
      </c>
      <c r="H696">
        <v>3</v>
      </c>
      <c r="I696">
        <v>50</v>
      </c>
      <c r="J696">
        <v>150</v>
      </c>
      <c r="K696">
        <v>150</v>
      </c>
      <c r="L696">
        <v>2023</v>
      </c>
      <c r="M696">
        <v>576</v>
      </c>
      <c r="N696">
        <v>45264</v>
      </c>
      <c r="O696" t="str">
        <v>December</v>
      </c>
      <c r="P696" t="str">
        <v>CUST576</v>
      </c>
      <c r="Q696" t="str">
        <v>Female</v>
      </c>
      <c r="R696">
        <v>33</v>
      </c>
      <c r="S696" t="str">
        <v>Beauty</v>
      </c>
      <c r="T696">
        <v>3</v>
      </c>
      <c r="U696">
        <v>50</v>
      </c>
      <c r="V696">
        <v>150</v>
      </c>
      <c r="W696">
        <v>150</v>
      </c>
      <c r="X696">
        <v>2023</v>
      </c>
    </row>
    <row r="697" spans="1:24" x14ac:dyDescent="0.35">
      <c r="A697">
        <v>696</v>
      </c>
      <c r="B697" s="1">
        <v>45175</v>
      </c>
      <c r="C697" s="2" t="s">
        <v>44</v>
      </c>
      <c r="D697" s="2" t="s">
        <v>724</v>
      </c>
      <c r="E697" s="2" t="s">
        <v>18</v>
      </c>
      <c r="F697">
        <v>50</v>
      </c>
      <c r="G697" s="2" t="s">
        <v>19</v>
      </c>
      <c r="H697">
        <v>4</v>
      </c>
      <c r="I697">
        <v>50</v>
      </c>
      <c r="J697">
        <v>200</v>
      </c>
      <c r="K697">
        <v>200</v>
      </c>
      <c r="L697">
        <v>2023</v>
      </c>
      <c r="M697">
        <v>577</v>
      </c>
      <c r="N697">
        <v>44970</v>
      </c>
      <c r="O697" t="str">
        <v>February</v>
      </c>
      <c r="P697" t="str">
        <v>CUST577</v>
      </c>
      <c r="Q697" t="str">
        <v>Male</v>
      </c>
      <c r="R697">
        <v>21</v>
      </c>
      <c r="S697" t="str">
        <v>Beauty</v>
      </c>
      <c r="T697">
        <v>4</v>
      </c>
      <c r="U697">
        <v>500</v>
      </c>
      <c r="V697">
        <v>2000</v>
      </c>
      <c r="W697">
        <v>2000</v>
      </c>
      <c r="X697">
        <v>2023</v>
      </c>
    </row>
    <row r="698" spans="1:24" x14ac:dyDescent="0.35">
      <c r="A698">
        <v>697</v>
      </c>
      <c r="B698" s="1">
        <v>44941</v>
      </c>
      <c r="C698" s="2" t="s">
        <v>20</v>
      </c>
      <c r="D698" s="2" t="s">
        <v>725</v>
      </c>
      <c r="E698" s="2" t="s">
        <v>14</v>
      </c>
      <c r="F698">
        <v>53</v>
      </c>
      <c r="G698" s="2" t="s">
        <v>19</v>
      </c>
      <c r="H698">
        <v>1</v>
      </c>
      <c r="I698">
        <v>500</v>
      </c>
      <c r="J698">
        <v>500</v>
      </c>
      <c r="K698">
        <v>500</v>
      </c>
      <c r="L698">
        <v>2023</v>
      </c>
      <c r="M698">
        <v>578</v>
      </c>
      <c r="N698">
        <v>45072</v>
      </c>
      <c r="O698" t="str">
        <v>May</v>
      </c>
      <c r="P698" t="str">
        <v>CUST578</v>
      </c>
      <c r="Q698" t="str">
        <v>Female</v>
      </c>
      <c r="R698">
        <v>54</v>
      </c>
      <c r="S698" t="str">
        <v>Clothing</v>
      </c>
      <c r="T698">
        <v>4</v>
      </c>
      <c r="U698">
        <v>30</v>
      </c>
      <c r="V698">
        <v>120</v>
      </c>
      <c r="W698">
        <v>120</v>
      </c>
      <c r="X698">
        <v>2023</v>
      </c>
    </row>
    <row r="699" spans="1:24" x14ac:dyDescent="0.35">
      <c r="A699">
        <v>698</v>
      </c>
      <c r="B699" s="1">
        <v>45126</v>
      </c>
      <c r="C699" s="2" t="s">
        <v>70</v>
      </c>
      <c r="D699" s="2" t="s">
        <v>726</v>
      </c>
      <c r="E699" s="2" t="s">
        <v>18</v>
      </c>
      <c r="F699">
        <v>64</v>
      </c>
      <c r="G699" s="2" t="s">
        <v>22</v>
      </c>
      <c r="H699">
        <v>1</v>
      </c>
      <c r="I699">
        <v>300</v>
      </c>
      <c r="J699">
        <v>300</v>
      </c>
      <c r="K699">
        <v>300</v>
      </c>
      <c r="L699">
        <v>2023</v>
      </c>
      <c r="M699">
        <v>579</v>
      </c>
      <c r="N699">
        <v>45190</v>
      </c>
      <c r="O699" t="str">
        <v>September</v>
      </c>
      <c r="P699" t="str">
        <v>CUST579</v>
      </c>
      <c r="Q699" t="str">
        <v>Female</v>
      </c>
      <c r="R699">
        <v>38</v>
      </c>
      <c r="S699" t="str">
        <v>Electronics</v>
      </c>
      <c r="T699">
        <v>1</v>
      </c>
      <c r="U699">
        <v>30</v>
      </c>
      <c r="V699">
        <v>30</v>
      </c>
      <c r="W699">
        <v>30</v>
      </c>
      <c r="X699">
        <v>2023</v>
      </c>
    </row>
    <row r="700" spans="1:24" x14ac:dyDescent="0.35">
      <c r="A700">
        <v>699</v>
      </c>
      <c r="B700" s="1">
        <v>45099</v>
      </c>
      <c r="C700" s="2" t="s">
        <v>62</v>
      </c>
      <c r="D700" s="2" t="s">
        <v>727</v>
      </c>
      <c r="E700" s="2" t="s">
        <v>18</v>
      </c>
      <c r="F700">
        <v>37</v>
      </c>
      <c r="G700" s="2" t="s">
        <v>19</v>
      </c>
      <c r="H700">
        <v>4</v>
      </c>
      <c r="I700">
        <v>30</v>
      </c>
      <c r="J700">
        <v>120</v>
      </c>
      <c r="K700">
        <v>120</v>
      </c>
      <c r="L700">
        <v>2023</v>
      </c>
      <c r="M700">
        <v>580</v>
      </c>
      <c r="N700">
        <v>45266</v>
      </c>
      <c r="O700" t="str">
        <v>December</v>
      </c>
      <c r="P700" t="str">
        <v>CUST580</v>
      </c>
      <c r="Q700" t="str">
        <v>Female</v>
      </c>
      <c r="R700">
        <v>31</v>
      </c>
      <c r="S700" t="str">
        <v>Clothing</v>
      </c>
      <c r="T700">
        <v>3</v>
      </c>
      <c r="U700">
        <v>500</v>
      </c>
      <c r="V700">
        <v>1500</v>
      </c>
      <c r="W700">
        <v>1500</v>
      </c>
      <c r="X700">
        <v>2023</v>
      </c>
    </row>
    <row r="701" spans="1:24" x14ac:dyDescent="0.35">
      <c r="A701">
        <v>700</v>
      </c>
      <c r="B701" s="1">
        <v>45269</v>
      </c>
      <c r="C701" s="2" t="s">
        <v>31</v>
      </c>
      <c r="D701" s="2" t="s">
        <v>728</v>
      </c>
      <c r="E701" s="2" t="s">
        <v>14</v>
      </c>
      <c r="F701">
        <v>36</v>
      </c>
      <c r="G701" s="2" t="s">
        <v>22</v>
      </c>
      <c r="H701">
        <v>4</v>
      </c>
      <c r="I701">
        <v>500</v>
      </c>
      <c r="J701">
        <v>2000</v>
      </c>
      <c r="K701">
        <v>2000</v>
      </c>
      <c r="L701">
        <v>2023</v>
      </c>
      <c r="M701">
        <v>581</v>
      </c>
      <c r="N701">
        <v>45251</v>
      </c>
      <c r="O701" t="str">
        <v>November</v>
      </c>
      <c r="P701" t="str">
        <v>CUST581</v>
      </c>
      <c r="Q701" t="str">
        <v>Female</v>
      </c>
      <c r="R701">
        <v>48</v>
      </c>
      <c r="S701" t="str">
        <v>Beauty</v>
      </c>
      <c r="T701">
        <v>2</v>
      </c>
      <c r="U701">
        <v>30</v>
      </c>
      <c r="V701">
        <v>60</v>
      </c>
      <c r="W701">
        <v>60</v>
      </c>
      <c r="X701">
        <v>2023</v>
      </c>
    </row>
    <row r="702" spans="1:24" x14ac:dyDescent="0.35">
      <c r="A702">
        <v>701</v>
      </c>
      <c r="B702" s="1">
        <v>45274</v>
      </c>
      <c r="C702" s="2" t="s">
        <v>31</v>
      </c>
      <c r="D702" s="2" t="s">
        <v>729</v>
      </c>
      <c r="E702" s="2" t="s">
        <v>18</v>
      </c>
      <c r="F702">
        <v>52</v>
      </c>
      <c r="G702" s="2" t="s">
        <v>15</v>
      </c>
      <c r="H702">
        <v>2</v>
      </c>
      <c r="I702">
        <v>30</v>
      </c>
      <c r="J702">
        <v>60</v>
      </c>
      <c r="K702">
        <v>60</v>
      </c>
      <c r="L702">
        <v>2023</v>
      </c>
      <c r="M702">
        <v>582</v>
      </c>
      <c r="N702">
        <v>45244</v>
      </c>
      <c r="O702" t="str">
        <v>November</v>
      </c>
      <c r="P702" t="str">
        <v>CUST582</v>
      </c>
      <c r="Q702" t="str">
        <v>Male</v>
      </c>
      <c r="R702">
        <v>35</v>
      </c>
      <c r="S702" t="str">
        <v>Clothing</v>
      </c>
      <c r="T702">
        <v>3</v>
      </c>
      <c r="U702">
        <v>300</v>
      </c>
      <c r="V702">
        <v>900</v>
      </c>
      <c r="W702">
        <v>900</v>
      </c>
      <c r="X702">
        <v>2023</v>
      </c>
    </row>
    <row r="703" spans="1:24" x14ac:dyDescent="0.35">
      <c r="A703">
        <v>702</v>
      </c>
      <c r="B703" s="1">
        <v>45134</v>
      </c>
      <c r="C703" s="2" t="s">
        <v>70</v>
      </c>
      <c r="D703" s="2" t="s">
        <v>730</v>
      </c>
      <c r="E703" s="2" t="s">
        <v>18</v>
      </c>
      <c r="F703">
        <v>60</v>
      </c>
      <c r="G703" s="2" t="s">
        <v>19</v>
      </c>
      <c r="H703">
        <v>2</v>
      </c>
      <c r="I703">
        <v>300</v>
      </c>
      <c r="J703">
        <v>600</v>
      </c>
      <c r="K703">
        <v>600</v>
      </c>
      <c r="L703">
        <v>2023</v>
      </c>
      <c r="M703">
        <v>583</v>
      </c>
      <c r="N703">
        <v>45098</v>
      </c>
      <c r="O703" t="str">
        <v>June</v>
      </c>
      <c r="P703" t="str">
        <v>CUST583</v>
      </c>
      <c r="Q703" t="str">
        <v>Female</v>
      </c>
      <c r="R703">
        <v>24</v>
      </c>
      <c r="S703" t="str">
        <v>Electronics</v>
      </c>
      <c r="T703">
        <v>4</v>
      </c>
      <c r="U703">
        <v>25</v>
      </c>
      <c r="V703">
        <v>100</v>
      </c>
      <c r="W703">
        <v>100</v>
      </c>
      <c r="X703">
        <v>2023</v>
      </c>
    </row>
    <row r="704" spans="1:24" x14ac:dyDescent="0.35">
      <c r="A704">
        <v>703</v>
      </c>
      <c r="B704" s="1">
        <v>45011</v>
      </c>
      <c r="C704" s="2" t="s">
        <v>28</v>
      </c>
      <c r="D704" s="2" t="s">
        <v>731</v>
      </c>
      <c r="E704" s="2" t="s">
        <v>14</v>
      </c>
      <c r="F704">
        <v>34</v>
      </c>
      <c r="G704" s="2" t="s">
        <v>22</v>
      </c>
      <c r="H704">
        <v>2</v>
      </c>
      <c r="I704">
        <v>50</v>
      </c>
      <c r="J704">
        <v>100</v>
      </c>
      <c r="K704">
        <v>100</v>
      </c>
      <c r="L704">
        <v>2023</v>
      </c>
      <c r="M704">
        <v>584</v>
      </c>
      <c r="N704">
        <v>44974</v>
      </c>
      <c r="O704" t="str">
        <v>February</v>
      </c>
      <c r="P704" t="str">
        <v>CUST584</v>
      </c>
      <c r="Q704" t="str">
        <v>Female</v>
      </c>
      <c r="R704">
        <v>27</v>
      </c>
      <c r="S704" t="str">
        <v>Beauty</v>
      </c>
      <c r="T704">
        <v>4</v>
      </c>
      <c r="U704">
        <v>50</v>
      </c>
      <c r="V704">
        <v>200</v>
      </c>
      <c r="W704">
        <v>200</v>
      </c>
      <c r="X704">
        <v>2023</v>
      </c>
    </row>
    <row r="705" spans="1:24" x14ac:dyDescent="0.35">
      <c r="A705">
        <v>704</v>
      </c>
      <c r="B705" s="1">
        <v>45166</v>
      </c>
      <c r="C705" s="2" t="s">
        <v>37</v>
      </c>
      <c r="D705" s="2" t="s">
        <v>732</v>
      </c>
      <c r="E705" s="2" t="s">
        <v>18</v>
      </c>
      <c r="F705">
        <v>62</v>
      </c>
      <c r="G705" s="2" t="s">
        <v>19</v>
      </c>
      <c r="H705">
        <v>3</v>
      </c>
      <c r="I705">
        <v>30</v>
      </c>
      <c r="J705">
        <v>90</v>
      </c>
      <c r="K705">
        <v>90</v>
      </c>
      <c r="L705">
        <v>2023</v>
      </c>
      <c r="M705">
        <v>585</v>
      </c>
      <c r="N705">
        <v>45047</v>
      </c>
      <c r="O705" t="str">
        <v>May</v>
      </c>
      <c r="P705" t="str">
        <v>CUST585</v>
      </c>
      <c r="Q705" t="str">
        <v>Female</v>
      </c>
      <c r="R705">
        <v>24</v>
      </c>
      <c r="S705" t="str">
        <v>Clothing</v>
      </c>
      <c r="T705">
        <v>1</v>
      </c>
      <c r="U705">
        <v>25</v>
      </c>
      <c r="V705">
        <v>25</v>
      </c>
      <c r="W705">
        <v>25</v>
      </c>
      <c r="X705">
        <v>2023</v>
      </c>
    </row>
    <row r="706" spans="1:24" x14ac:dyDescent="0.35">
      <c r="A706">
        <v>705</v>
      </c>
      <c r="B706" s="1">
        <v>44992</v>
      </c>
      <c r="C706" s="2" t="s">
        <v>28</v>
      </c>
      <c r="D706" s="2" t="s">
        <v>733</v>
      </c>
      <c r="E706" s="2" t="s">
        <v>14</v>
      </c>
      <c r="F706">
        <v>60</v>
      </c>
      <c r="G706" s="2" t="s">
        <v>22</v>
      </c>
      <c r="H706">
        <v>2</v>
      </c>
      <c r="I706">
        <v>25</v>
      </c>
      <c r="J706">
        <v>50</v>
      </c>
      <c r="K706">
        <v>50</v>
      </c>
      <c r="L706">
        <v>2023</v>
      </c>
      <c r="M706">
        <v>586</v>
      </c>
      <c r="N706">
        <v>45271</v>
      </c>
      <c r="O706" t="str">
        <v>December</v>
      </c>
      <c r="P706" t="str">
        <v>CUST586</v>
      </c>
      <c r="Q706" t="str">
        <v>Male</v>
      </c>
      <c r="R706">
        <v>50</v>
      </c>
      <c r="S706" t="str">
        <v>Electronics</v>
      </c>
      <c r="T706">
        <v>1</v>
      </c>
      <c r="U706">
        <v>50</v>
      </c>
      <c r="V706">
        <v>50</v>
      </c>
      <c r="W706">
        <v>50</v>
      </c>
      <c r="X706">
        <v>2023</v>
      </c>
    </row>
    <row r="707" spans="1:24" x14ac:dyDescent="0.35">
      <c r="A707">
        <v>706</v>
      </c>
      <c r="B707" s="1">
        <v>45245</v>
      </c>
      <c r="C707" s="2" t="s">
        <v>12</v>
      </c>
      <c r="D707" s="2" t="s">
        <v>734</v>
      </c>
      <c r="E707" s="2" t="s">
        <v>14</v>
      </c>
      <c r="F707">
        <v>51</v>
      </c>
      <c r="G707" s="2" t="s">
        <v>22</v>
      </c>
      <c r="H707">
        <v>4</v>
      </c>
      <c r="I707">
        <v>25</v>
      </c>
      <c r="J707">
        <v>100</v>
      </c>
      <c r="K707">
        <v>100</v>
      </c>
      <c r="L707">
        <v>2023</v>
      </c>
      <c r="M707">
        <v>587</v>
      </c>
      <c r="N707">
        <v>45085</v>
      </c>
      <c r="O707" t="str">
        <v>June</v>
      </c>
      <c r="P707" t="str">
        <v>CUST587</v>
      </c>
      <c r="Q707" t="str">
        <v>Female</v>
      </c>
      <c r="R707">
        <v>40</v>
      </c>
      <c r="S707" t="str">
        <v>Beauty</v>
      </c>
      <c r="T707">
        <v>4</v>
      </c>
      <c r="U707">
        <v>300</v>
      </c>
      <c r="V707">
        <v>1200</v>
      </c>
      <c r="W707">
        <v>1200</v>
      </c>
      <c r="X707">
        <v>2023</v>
      </c>
    </row>
    <row r="708" spans="1:24" x14ac:dyDescent="0.35">
      <c r="A708">
        <v>707</v>
      </c>
      <c r="B708" s="1">
        <v>45200</v>
      </c>
      <c r="C708" s="2" t="s">
        <v>33</v>
      </c>
      <c r="D708" s="2" t="s">
        <v>735</v>
      </c>
      <c r="E708" s="2" t="s">
        <v>18</v>
      </c>
      <c r="F708">
        <v>26</v>
      </c>
      <c r="G708" s="2" t="s">
        <v>19</v>
      </c>
      <c r="H708">
        <v>1</v>
      </c>
      <c r="I708">
        <v>500</v>
      </c>
      <c r="J708">
        <v>500</v>
      </c>
      <c r="K708">
        <v>500</v>
      </c>
      <c r="L708">
        <v>2023</v>
      </c>
      <c r="M708">
        <v>588</v>
      </c>
      <c r="N708">
        <v>45042</v>
      </c>
      <c r="O708" t="str">
        <v>April</v>
      </c>
      <c r="P708" t="str">
        <v>CUST588</v>
      </c>
      <c r="Q708" t="str">
        <v>Male</v>
      </c>
      <c r="R708">
        <v>38</v>
      </c>
      <c r="S708" t="str">
        <v>Electronics</v>
      </c>
      <c r="T708">
        <v>2</v>
      </c>
      <c r="U708">
        <v>30</v>
      </c>
      <c r="V708">
        <v>60</v>
      </c>
      <c r="W708">
        <v>60</v>
      </c>
      <c r="X708">
        <v>2023</v>
      </c>
    </row>
    <row r="709" spans="1:24" x14ac:dyDescent="0.35">
      <c r="A709">
        <v>708</v>
      </c>
      <c r="B709" s="1">
        <v>44940</v>
      </c>
      <c r="C709" s="2" t="s">
        <v>20</v>
      </c>
      <c r="D709" s="2" t="s">
        <v>736</v>
      </c>
      <c r="E709" s="2" t="s">
        <v>18</v>
      </c>
      <c r="F709">
        <v>43</v>
      </c>
      <c r="G709" s="2" t="s">
        <v>15</v>
      </c>
      <c r="H709">
        <v>3</v>
      </c>
      <c r="I709">
        <v>300</v>
      </c>
      <c r="J709">
        <v>900</v>
      </c>
      <c r="K709">
        <v>900</v>
      </c>
      <c r="L709">
        <v>2023</v>
      </c>
      <c r="M709">
        <v>589</v>
      </c>
      <c r="N709">
        <v>45028</v>
      </c>
      <c r="O709" t="str">
        <v>April</v>
      </c>
      <c r="P709" t="str">
        <v>CUST589</v>
      </c>
      <c r="Q709" t="str">
        <v>Female</v>
      </c>
      <c r="R709">
        <v>36</v>
      </c>
      <c r="S709" t="str">
        <v>Beauty</v>
      </c>
      <c r="T709">
        <v>2</v>
      </c>
      <c r="U709">
        <v>500</v>
      </c>
      <c r="V709">
        <v>1000</v>
      </c>
      <c r="W709">
        <v>1000</v>
      </c>
      <c r="X709">
        <v>2023</v>
      </c>
    </row>
    <row r="710" spans="1:24" x14ac:dyDescent="0.35">
      <c r="A710">
        <v>709</v>
      </c>
      <c r="B710" s="1">
        <v>45128</v>
      </c>
      <c r="C710" s="2" t="s">
        <v>70</v>
      </c>
      <c r="D710" s="2" t="s">
        <v>737</v>
      </c>
      <c r="E710" s="2" t="s">
        <v>18</v>
      </c>
      <c r="F710">
        <v>19</v>
      </c>
      <c r="G710" s="2" t="s">
        <v>22</v>
      </c>
      <c r="H710">
        <v>2</v>
      </c>
      <c r="I710">
        <v>500</v>
      </c>
      <c r="J710">
        <v>1000</v>
      </c>
      <c r="K710">
        <v>1000</v>
      </c>
      <c r="L710">
        <v>2023</v>
      </c>
      <c r="M710">
        <v>590</v>
      </c>
      <c r="N710">
        <v>45002</v>
      </c>
      <c r="O710" t="str">
        <v>March</v>
      </c>
      <c r="P710" t="str">
        <v>CUST590</v>
      </c>
      <c r="Q710" t="str">
        <v>Male</v>
      </c>
      <c r="R710">
        <v>36</v>
      </c>
      <c r="S710" t="str">
        <v>Clothing</v>
      </c>
      <c r="T710">
        <v>3</v>
      </c>
      <c r="U710">
        <v>300</v>
      </c>
      <c r="V710">
        <v>900</v>
      </c>
      <c r="W710">
        <v>900</v>
      </c>
      <c r="X710">
        <v>2023</v>
      </c>
    </row>
    <row r="711" spans="1:24" x14ac:dyDescent="0.35">
      <c r="A711">
        <v>710</v>
      </c>
      <c r="B711" s="1">
        <v>45230</v>
      </c>
      <c r="C711" s="2" t="s">
        <v>33</v>
      </c>
      <c r="D711" s="2" t="s">
        <v>738</v>
      </c>
      <c r="E711" s="2" t="s">
        <v>18</v>
      </c>
      <c r="F711">
        <v>26</v>
      </c>
      <c r="G711" s="2" t="s">
        <v>22</v>
      </c>
      <c r="H711">
        <v>3</v>
      </c>
      <c r="I711">
        <v>500</v>
      </c>
      <c r="J711">
        <v>1500</v>
      </c>
      <c r="K711">
        <v>1500</v>
      </c>
      <c r="L711">
        <v>2023</v>
      </c>
      <c r="M711">
        <v>591</v>
      </c>
      <c r="N711">
        <v>44939</v>
      </c>
      <c r="O711" t="str">
        <v>January</v>
      </c>
      <c r="P711" t="str">
        <v>CUST591</v>
      </c>
      <c r="Q711" t="str">
        <v>Male</v>
      </c>
      <c r="R711">
        <v>53</v>
      </c>
      <c r="S711" t="str">
        <v>Electronics</v>
      </c>
      <c r="T711">
        <v>4</v>
      </c>
      <c r="U711">
        <v>25</v>
      </c>
      <c r="V711">
        <v>100</v>
      </c>
      <c r="W711">
        <v>100</v>
      </c>
      <c r="X711">
        <v>2023</v>
      </c>
    </row>
    <row r="712" spans="1:24" x14ac:dyDescent="0.35">
      <c r="A712">
        <v>711</v>
      </c>
      <c r="B712" s="1">
        <v>45215</v>
      </c>
      <c r="C712" s="2" t="s">
        <v>33</v>
      </c>
      <c r="D712" s="2" t="s">
        <v>739</v>
      </c>
      <c r="E712" s="2" t="s">
        <v>14</v>
      </c>
      <c r="F712">
        <v>26</v>
      </c>
      <c r="G712" s="2" t="s">
        <v>22</v>
      </c>
      <c r="H712">
        <v>3</v>
      </c>
      <c r="I712">
        <v>500</v>
      </c>
      <c r="J712">
        <v>1500</v>
      </c>
      <c r="K712">
        <v>1500</v>
      </c>
      <c r="L712">
        <v>2023</v>
      </c>
      <c r="M712">
        <v>592</v>
      </c>
      <c r="N712">
        <v>44950</v>
      </c>
      <c r="O712" t="str">
        <v>January</v>
      </c>
      <c r="P712" t="str">
        <v>CUST592</v>
      </c>
      <c r="Q712" t="str">
        <v>Female</v>
      </c>
      <c r="R712">
        <v>46</v>
      </c>
      <c r="S712" t="str">
        <v>Beauty</v>
      </c>
      <c r="T712">
        <v>4</v>
      </c>
      <c r="U712">
        <v>500</v>
      </c>
      <c r="V712">
        <v>2000</v>
      </c>
      <c r="W712">
        <v>2000</v>
      </c>
      <c r="X712">
        <v>2023</v>
      </c>
    </row>
    <row r="713" spans="1:24" x14ac:dyDescent="0.35">
      <c r="A713">
        <v>712</v>
      </c>
      <c r="B713" s="1">
        <v>45266</v>
      </c>
      <c r="C713" s="2" t="s">
        <v>31</v>
      </c>
      <c r="D713" s="2" t="s">
        <v>740</v>
      </c>
      <c r="E713" s="2" t="s">
        <v>18</v>
      </c>
      <c r="F713">
        <v>57</v>
      </c>
      <c r="G713" s="2" t="s">
        <v>15</v>
      </c>
      <c r="H713">
        <v>2</v>
      </c>
      <c r="I713">
        <v>25</v>
      </c>
      <c r="J713">
        <v>50</v>
      </c>
      <c r="K713">
        <v>50</v>
      </c>
      <c r="L713">
        <v>2023</v>
      </c>
      <c r="M713">
        <v>593</v>
      </c>
      <c r="N713">
        <v>45052</v>
      </c>
      <c r="O713" t="str">
        <v>May</v>
      </c>
      <c r="P713" t="str">
        <v>CUST593</v>
      </c>
      <c r="Q713" t="str">
        <v>Male</v>
      </c>
      <c r="R713">
        <v>35</v>
      </c>
      <c r="S713" t="str">
        <v>Electronics</v>
      </c>
      <c r="T713">
        <v>2</v>
      </c>
      <c r="U713">
        <v>30</v>
      </c>
      <c r="V713">
        <v>60</v>
      </c>
      <c r="W713">
        <v>60</v>
      </c>
      <c r="X713">
        <v>2023</v>
      </c>
    </row>
    <row r="714" spans="1:24" x14ac:dyDescent="0.35">
      <c r="A714">
        <v>713</v>
      </c>
      <c r="B714" s="1">
        <v>44940</v>
      </c>
      <c r="C714" s="2" t="s">
        <v>20</v>
      </c>
      <c r="D714" s="2" t="s">
        <v>741</v>
      </c>
      <c r="E714" s="2" t="s">
        <v>14</v>
      </c>
      <c r="F714">
        <v>34</v>
      </c>
      <c r="G714" s="2" t="s">
        <v>15</v>
      </c>
      <c r="H714">
        <v>3</v>
      </c>
      <c r="I714">
        <v>25</v>
      </c>
      <c r="J714">
        <v>75</v>
      </c>
      <c r="K714">
        <v>75</v>
      </c>
      <c r="L714">
        <v>2023</v>
      </c>
      <c r="M714">
        <v>594</v>
      </c>
      <c r="N714">
        <v>45170</v>
      </c>
      <c r="O714" t="str">
        <v>September</v>
      </c>
      <c r="P714" t="str">
        <v>CUST594</v>
      </c>
      <c r="Q714" t="str">
        <v>Female</v>
      </c>
      <c r="R714">
        <v>19</v>
      </c>
      <c r="S714" t="str">
        <v>Electronics</v>
      </c>
      <c r="T714">
        <v>2</v>
      </c>
      <c r="U714">
        <v>300</v>
      </c>
      <c r="V714">
        <v>600</v>
      </c>
      <c r="W714">
        <v>600</v>
      </c>
      <c r="X714">
        <v>2023</v>
      </c>
    </row>
    <row r="715" spans="1:24" x14ac:dyDescent="0.35">
      <c r="A715">
        <v>714</v>
      </c>
      <c r="B715" s="1">
        <v>44969</v>
      </c>
      <c r="C715" s="2" t="s">
        <v>16</v>
      </c>
      <c r="D715" s="2" t="s">
        <v>742</v>
      </c>
      <c r="E715" s="2" t="s">
        <v>18</v>
      </c>
      <c r="F715">
        <v>18</v>
      </c>
      <c r="G715" s="2" t="s">
        <v>19</v>
      </c>
      <c r="H715">
        <v>1</v>
      </c>
      <c r="I715">
        <v>500</v>
      </c>
      <c r="J715">
        <v>500</v>
      </c>
      <c r="K715">
        <v>500</v>
      </c>
      <c r="L715">
        <v>2023</v>
      </c>
      <c r="M715">
        <v>595</v>
      </c>
      <c r="N715">
        <v>45239</v>
      </c>
      <c r="O715" t="str">
        <v>November</v>
      </c>
      <c r="P715" t="str">
        <v>CUST595</v>
      </c>
      <c r="Q715" t="str">
        <v>Female</v>
      </c>
      <c r="R715">
        <v>18</v>
      </c>
      <c r="S715" t="str">
        <v>Clothing</v>
      </c>
      <c r="T715">
        <v>4</v>
      </c>
      <c r="U715">
        <v>500</v>
      </c>
      <c r="V715">
        <v>2000</v>
      </c>
      <c r="W715">
        <v>2000</v>
      </c>
      <c r="X715">
        <v>2023</v>
      </c>
    </row>
    <row r="716" spans="1:24" x14ac:dyDescent="0.35">
      <c r="A716">
        <v>715</v>
      </c>
      <c r="B716" s="1">
        <v>45256</v>
      </c>
      <c r="C716" s="2" t="s">
        <v>12</v>
      </c>
      <c r="D716" s="2" t="s">
        <v>743</v>
      </c>
      <c r="E716" s="2" t="s">
        <v>18</v>
      </c>
      <c r="F716">
        <v>42</v>
      </c>
      <c r="G716" s="2" t="s">
        <v>15</v>
      </c>
      <c r="H716">
        <v>4</v>
      </c>
      <c r="I716">
        <v>25</v>
      </c>
      <c r="J716">
        <v>100</v>
      </c>
      <c r="K716">
        <v>100</v>
      </c>
      <c r="L716">
        <v>2023</v>
      </c>
      <c r="M716">
        <v>596</v>
      </c>
      <c r="N716">
        <v>44964</v>
      </c>
      <c r="O716" t="str">
        <v>February</v>
      </c>
      <c r="P716" t="str">
        <v>CUST596</v>
      </c>
      <c r="Q716" t="str">
        <v>Female</v>
      </c>
      <c r="R716">
        <v>64</v>
      </c>
      <c r="S716" t="str">
        <v>Electronics</v>
      </c>
      <c r="T716">
        <v>1</v>
      </c>
      <c r="U716">
        <v>300</v>
      </c>
      <c r="V716">
        <v>300</v>
      </c>
      <c r="W716">
        <v>300</v>
      </c>
      <c r="X716">
        <v>2023</v>
      </c>
    </row>
    <row r="717" spans="1:24" x14ac:dyDescent="0.35">
      <c r="A717">
        <v>716</v>
      </c>
      <c r="B717" s="1">
        <v>45146</v>
      </c>
      <c r="C717" s="2" t="s">
        <v>37</v>
      </c>
      <c r="D717" s="2" t="s">
        <v>744</v>
      </c>
      <c r="E717" s="2" t="s">
        <v>18</v>
      </c>
      <c r="F717">
        <v>60</v>
      </c>
      <c r="G717" s="2" t="s">
        <v>19</v>
      </c>
      <c r="H717">
        <v>4</v>
      </c>
      <c r="I717">
        <v>300</v>
      </c>
      <c r="J717">
        <v>1200</v>
      </c>
      <c r="K717">
        <v>1200</v>
      </c>
      <c r="L717">
        <v>2023</v>
      </c>
      <c r="M717">
        <v>597</v>
      </c>
      <c r="N717">
        <v>45160</v>
      </c>
      <c r="O717" t="str">
        <v>August</v>
      </c>
      <c r="P717" t="str">
        <v>CUST597</v>
      </c>
      <c r="Q717" t="str">
        <v>Male</v>
      </c>
      <c r="R717">
        <v>22</v>
      </c>
      <c r="S717" t="str">
        <v>Beauty</v>
      </c>
      <c r="T717">
        <v>4</v>
      </c>
      <c r="U717">
        <v>300</v>
      </c>
      <c r="V717">
        <v>1200</v>
      </c>
      <c r="W717">
        <v>1200</v>
      </c>
      <c r="X717">
        <v>2023</v>
      </c>
    </row>
    <row r="718" spans="1:24" x14ac:dyDescent="0.35">
      <c r="A718">
        <v>717</v>
      </c>
      <c r="B718" s="1">
        <v>44996</v>
      </c>
      <c r="C718" s="2" t="s">
        <v>28</v>
      </c>
      <c r="D718" s="2" t="s">
        <v>745</v>
      </c>
      <c r="E718" s="2" t="s">
        <v>14</v>
      </c>
      <c r="F718">
        <v>57</v>
      </c>
      <c r="G718" s="2" t="s">
        <v>19</v>
      </c>
      <c r="H718">
        <v>1</v>
      </c>
      <c r="I718">
        <v>500</v>
      </c>
      <c r="J718">
        <v>500</v>
      </c>
      <c r="K718">
        <v>500</v>
      </c>
      <c r="L718">
        <v>2023</v>
      </c>
      <c r="M718">
        <v>598</v>
      </c>
      <c r="N718">
        <v>45139</v>
      </c>
      <c r="O718" t="str">
        <v>August</v>
      </c>
      <c r="P718" t="str">
        <v>CUST598</v>
      </c>
      <c r="Q718" t="str">
        <v>Male</v>
      </c>
      <c r="R718">
        <v>37</v>
      </c>
      <c r="S718" t="str">
        <v>Beauty</v>
      </c>
      <c r="T718">
        <v>4</v>
      </c>
      <c r="U718">
        <v>30</v>
      </c>
      <c r="V718">
        <v>120</v>
      </c>
      <c r="W718">
        <v>120</v>
      </c>
      <c r="X718">
        <v>2023</v>
      </c>
    </row>
    <row r="719" spans="1:24" x14ac:dyDescent="0.35">
      <c r="A719">
        <v>718</v>
      </c>
      <c r="B719" s="1">
        <v>45163</v>
      </c>
      <c r="C719" s="2" t="s">
        <v>37</v>
      </c>
      <c r="D719" s="2" t="s">
        <v>746</v>
      </c>
      <c r="E719" s="2" t="s">
        <v>18</v>
      </c>
      <c r="F719">
        <v>59</v>
      </c>
      <c r="G719" s="2" t="s">
        <v>15</v>
      </c>
      <c r="H719">
        <v>3</v>
      </c>
      <c r="I719">
        <v>25</v>
      </c>
      <c r="J719">
        <v>75</v>
      </c>
      <c r="K719">
        <v>75</v>
      </c>
      <c r="L719">
        <v>2023</v>
      </c>
      <c r="M719">
        <v>599</v>
      </c>
      <c r="N719">
        <v>45249</v>
      </c>
      <c r="O719" t="str">
        <v>November</v>
      </c>
      <c r="P719" t="str">
        <v>CUST599</v>
      </c>
      <c r="Q719" t="str">
        <v>Female</v>
      </c>
      <c r="R719">
        <v>28</v>
      </c>
      <c r="S719" t="str">
        <v>Beauty</v>
      </c>
      <c r="T719">
        <v>2</v>
      </c>
      <c r="U719">
        <v>50</v>
      </c>
      <c r="V719">
        <v>100</v>
      </c>
      <c r="W719">
        <v>100</v>
      </c>
      <c r="X719">
        <v>2023</v>
      </c>
    </row>
    <row r="720" spans="1:24" x14ac:dyDescent="0.35">
      <c r="A720">
        <v>719</v>
      </c>
      <c r="B720" s="1">
        <v>45020</v>
      </c>
      <c r="C720" s="2" t="s">
        <v>26</v>
      </c>
      <c r="D720" s="2" t="s">
        <v>747</v>
      </c>
      <c r="E720" s="2" t="s">
        <v>18</v>
      </c>
      <c r="F720">
        <v>42</v>
      </c>
      <c r="G720" s="2" t="s">
        <v>19</v>
      </c>
      <c r="H720">
        <v>2</v>
      </c>
      <c r="I720">
        <v>30</v>
      </c>
      <c r="J720">
        <v>60</v>
      </c>
      <c r="K720">
        <v>60</v>
      </c>
      <c r="L720">
        <v>2023</v>
      </c>
      <c r="M720">
        <v>600</v>
      </c>
      <c r="N720">
        <v>45221</v>
      </c>
      <c r="O720" t="str">
        <v>October</v>
      </c>
      <c r="P720" t="str">
        <v>CUST600</v>
      </c>
      <c r="Q720" t="str">
        <v>Female</v>
      </c>
      <c r="R720">
        <v>59</v>
      </c>
      <c r="S720" t="str">
        <v>Beauty</v>
      </c>
      <c r="T720">
        <v>2</v>
      </c>
      <c r="U720">
        <v>500</v>
      </c>
      <c r="V720">
        <v>1000</v>
      </c>
      <c r="W720">
        <v>1000</v>
      </c>
      <c r="X720">
        <v>2023</v>
      </c>
    </row>
    <row r="721" spans="1:24" x14ac:dyDescent="0.35">
      <c r="A721">
        <v>720</v>
      </c>
      <c r="B721" s="1">
        <v>44952</v>
      </c>
      <c r="C721" s="2" t="s">
        <v>20</v>
      </c>
      <c r="D721" s="2" t="s">
        <v>748</v>
      </c>
      <c r="E721" s="2" t="s">
        <v>18</v>
      </c>
      <c r="F721">
        <v>56</v>
      </c>
      <c r="G721" s="2" t="s">
        <v>15</v>
      </c>
      <c r="H721">
        <v>3</v>
      </c>
      <c r="I721">
        <v>500</v>
      </c>
      <c r="J721">
        <v>1500</v>
      </c>
      <c r="K721">
        <v>1500</v>
      </c>
      <c r="L721">
        <v>2023</v>
      </c>
      <c r="M721">
        <v>601</v>
      </c>
      <c r="N721">
        <v>45026</v>
      </c>
      <c r="O721" t="str">
        <v>April</v>
      </c>
      <c r="P721" t="str">
        <v>CUST601</v>
      </c>
      <c r="Q721" t="str">
        <v>Male</v>
      </c>
      <c r="R721">
        <v>19</v>
      </c>
      <c r="S721" t="str">
        <v>Clothing</v>
      </c>
      <c r="T721">
        <v>1</v>
      </c>
      <c r="U721">
        <v>30</v>
      </c>
      <c r="V721">
        <v>30</v>
      </c>
      <c r="W721">
        <v>30</v>
      </c>
      <c r="X721">
        <v>2023</v>
      </c>
    </row>
    <row r="722" spans="1:24" x14ac:dyDescent="0.35">
      <c r="A722">
        <v>721</v>
      </c>
      <c r="B722" s="1">
        <v>45060</v>
      </c>
      <c r="C722" s="2" t="s">
        <v>23</v>
      </c>
      <c r="D722" s="2" t="s">
        <v>749</v>
      </c>
      <c r="E722" s="2" t="s">
        <v>18</v>
      </c>
      <c r="F722">
        <v>52</v>
      </c>
      <c r="G722" s="2" t="s">
        <v>19</v>
      </c>
      <c r="H722">
        <v>1</v>
      </c>
      <c r="I722">
        <v>500</v>
      </c>
      <c r="J722">
        <v>500</v>
      </c>
      <c r="K722">
        <v>500</v>
      </c>
      <c r="L722">
        <v>2023</v>
      </c>
      <c r="M722">
        <v>602</v>
      </c>
      <c r="N722">
        <v>45283</v>
      </c>
      <c r="O722" t="str">
        <v>December</v>
      </c>
      <c r="P722" t="str">
        <v>CUST602</v>
      </c>
      <c r="Q722" t="str">
        <v>Female</v>
      </c>
      <c r="R722">
        <v>20</v>
      </c>
      <c r="S722" t="str">
        <v>Electronics</v>
      </c>
      <c r="T722">
        <v>1</v>
      </c>
      <c r="U722">
        <v>300</v>
      </c>
      <c r="V722">
        <v>300</v>
      </c>
      <c r="W722">
        <v>300</v>
      </c>
      <c r="X722">
        <v>2023</v>
      </c>
    </row>
    <row r="723" spans="1:24" x14ac:dyDescent="0.35">
      <c r="A723">
        <v>722</v>
      </c>
      <c r="B723" s="1">
        <v>45121</v>
      </c>
      <c r="C723" s="2" t="s">
        <v>70</v>
      </c>
      <c r="D723" s="2" t="s">
        <v>750</v>
      </c>
      <c r="E723" s="2" t="s">
        <v>14</v>
      </c>
      <c r="F723">
        <v>20</v>
      </c>
      <c r="G723" s="2" t="s">
        <v>15</v>
      </c>
      <c r="H723">
        <v>3</v>
      </c>
      <c r="I723">
        <v>300</v>
      </c>
      <c r="J723">
        <v>900</v>
      </c>
      <c r="K723">
        <v>900</v>
      </c>
      <c r="L723">
        <v>2023</v>
      </c>
      <c r="M723">
        <v>603</v>
      </c>
      <c r="N723">
        <v>45123</v>
      </c>
      <c r="O723" t="str">
        <v>July</v>
      </c>
      <c r="P723" t="str">
        <v>CUST603</v>
      </c>
      <c r="Q723" t="str">
        <v>Female</v>
      </c>
      <c r="R723">
        <v>40</v>
      </c>
      <c r="S723" t="str">
        <v>Clothing</v>
      </c>
      <c r="T723">
        <v>3</v>
      </c>
      <c r="U723">
        <v>30</v>
      </c>
      <c r="V723">
        <v>90</v>
      </c>
      <c r="W723">
        <v>90</v>
      </c>
      <c r="X723">
        <v>2023</v>
      </c>
    </row>
    <row r="724" spans="1:24" x14ac:dyDescent="0.35">
      <c r="A724">
        <v>723</v>
      </c>
      <c r="B724" s="1">
        <v>45094</v>
      </c>
      <c r="C724" s="2" t="s">
        <v>62</v>
      </c>
      <c r="D724" s="2" t="s">
        <v>751</v>
      </c>
      <c r="E724" s="2" t="s">
        <v>18</v>
      </c>
      <c r="F724">
        <v>54</v>
      </c>
      <c r="G724" s="2" t="s">
        <v>15</v>
      </c>
      <c r="H724">
        <v>4</v>
      </c>
      <c r="I724">
        <v>50</v>
      </c>
      <c r="J724">
        <v>200</v>
      </c>
      <c r="K724">
        <v>200</v>
      </c>
      <c r="L724">
        <v>2023</v>
      </c>
      <c r="M724">
        <v>604</v>
      </c>
      <c r="N724">
        <v>45180</v>
      </c>
      <c r="O724" t="str">
        <v>September</v>
      </c>
      <c r="P724" t="str">
        <v>CUST604</v>
      </c>
      <c r="Q724" t="str">
        <v>Female</v>
      </c>
      <c r="R724">
        <v>29</v>
      </c>
      <c r="S724" t="str">
        <v>Electronics</v>
      </c>
      <c r="T724">
        <v>4</v>
      </c>
      <c r="U724">
        <v>50</v>
      </c>
      <c r="V724">
        <v>200</v>
      </c>
      <c r="W724">
        <v>200</v>
      </c>
      <c r="X724">
        <v>2023</v>
      </c>
    </row>
    <row r="725" spans="1:24" x14ac:dyDescent="0.35">
      <c r="A725">
        <v>724</v>
      </c>
      <c r="B725" s="1">
        <v>45035</v>
      </c>
      <c r="C725" s="2" t="s">
        <v>26</v>
      </c>
      <c r="D725" s="2" t="s">
        <v>752</v>
      </c>
      <c r="E725" s="2" t="s">
        <v>14</v>
      </c>
      <c r="F725">
        <v>61</v>
      </c>
      <c r="G725" s="2" t="s">
        <v>19</v>
      </c>
      <c r="H725">
        <v>3</v>
      </c>
      <c r="I725">
        <v>50</v>
      </c>
      <c r="J725">
        <v>150</v>
      </c>
      <c r="K725">
        <v>150</v>
      </c>
      <c r="L725">
        <v>2023</v>
      </c>
      <c r="M725">
        <v>605</v>
      </c>
      <c r="N725">
        <v>45131</v>
      </c>
      <c r="O725" t="str">
        <v>July</v>
      </c>
      <c r="P725" t="str">
        <v>CUST605</v>
      </c>
      <c r="Q725" t="str">
        <v>Male</v>
      </c>
      <c r="R725">
        <v>37</v>
      </c>
      <c r="S725" t="str">
        <v>Electronics</v>
      </c>
      <c r="T725">
        <v>2</v>
      </c>
      <c r="U725">
        <v>500</v>
      </c>
      <c r="V725">
        <v>1000</v>
      </c>
      <c r="W725">
        <v>1000</v>
      </c>
      <c r="X725">
        <v>2023</v>
      </c>
    </row>
    <row r="726" spans="1:24" x14ac:dyDescent="0.35">
      <c r="A726">
        <v>725</v>
      </c>
      <c r="B726" s="1">
        <v>45159</v>
      </c>
      <c r="C726" s="2" t="s">
        <v>37</v>
      </c>
      <c r="D726" s="2" t="s">
        <v>753</v>
      </c>
      <c r="E726" s="2" t="s">
        <v>14</v>
      </c>
      <c r="F726">
        <v>61</v>
      </c>
      <c r="G726" s="2" t="s">
        <v>22</v>
      </c>
      <c r="H726">
        <v>1</v>
      </c>
      <c r="I726">
        <v>300</v>
      </c>
      <c r="J726">
        <v>300</v>
      </c>
      <c r="K726">
        <v>300</v>
      </c>
      <c r="L726">
        <v>2023</v>
      </c>
      <c r="M726">
        <v>606</v>
      </c>
      <c r="N726">
        <v>45051</v>
      </c>
      <c r="O726" t="str">
        <v>May</v>
      </c>
      <c r="P726" t="str">
        <v>CUST606</v>
      </c>
      <c r="Q726" t="str">
        <v>Male</v>
      </c>
      <c r="R726">
        <v>22</v>
      </c>
      <c r="S726" t="str">
        <v>Electronics</v>
      </c>
      <c r="T726">
        <v>1</v>
      </c>
      <c r="U726">
        <v>50</v>
      </c>
      <c r="V726">
        <v>50</v>
      </c>
      <c r="W726">
        <v>50</v>
      </c>
      <c r="X726">
        <v>2023</v>
      </c>
    </row>
    <row r="727" spans="1:24" x14ac:dyDescent="0.35">
      <c r="A727">
        <v>726</v>
      </c>
      <c r="B727" s="1">
        <v>45094</v>
      </c>
      <c r="C727" s="2" t="s">
        <v>62</v>
      </c>
      <c r="D727" s="2" t="s">
        <v>754</v>
      </c>
      <c r="E727" s="2" t="s">
        <v>14</v>
      </c>
      <c r="F727">
        <v>47</v>
      </c>
      <c r="G727" s="2" t="s">
        <v>19</v>
      </c>
      <c r="H727">
        <v>4</v>
      </c>
      <c r="I727">
        <v>300</v>
      </c>
      <c r="J727">
        <v>1200</v>
      </c>
      <c r="K727">
        <v>1200</v>
      </c>
      <c r="L727">
        <v>2023</v>
      </c>
      <c r="M727">
        <v>607</v>
      </c>
      <c r="N727">
        <v>45002</v>
      </c>
      <c r="O727" t="str">
        <v>March</v>
      </c>
      <c r="P727" t="str">
        <v>CUST607</v>
      </c>
      <c r="Q727" t="str">
        <v>Male</v>
      </c>
      <c r="R727">
        <v>54</v>
      </c>
      <c r="S727" t="str">
        <v>Clothing</v>
      </c>
      <c r="T727">
        <v>3</v>
      </c>
      <c r="U727">
        <v>25</v>
      </c>
      <c r="V727">
        <v>75</v>
      </c>
      <c r="W727">
        <v>75</v>
      </c>
      <c r="X727">
        <v>2023</v>
      </c>
    </row>
    <row r="728" spans="1:24" x14ac:dyDescent="0.35">
      <c r="A728">
        <v>727</v>
      </c>
      <c r="B728" s="1">
        <v>45099</v>
      </c>
      <c r="C728" s="2" t="s">
        <v>62</v>
      </c>
      <c r="D728" s="2" t="s">
        <v>755</v>
      </c>
      <c r="E728" s="2" t="s">
        <v>14</v>
      </c>
      <c r="F728">
        <v>55</v>
      </c>
      <c r="G728" s="2" t="s">
        <v>15</v>
      </c>
      <c r="H728">
        <v>3</v>
      </c>
      <c r="I728">
        <v>300</v>
      </c>
      <c r="J728">
        <v>900</v>
      </c>
      <c r="K728">
        <v>900</v>
      </c>
      <c r="L728">
        <v>2023</v>
      </c>
      <c r="M728">
        <v>608</v>
      </c>
      <c r="N728">
        <v>45262</v>
      </c>
      <c r="O728" t="str">
        <v>December</v>
      </c>
      <c r="P728" t="str">
        <v>CUST608</v>
      </c>
      <c r="Q728" t="str">
        <v>Female</v>
      </c>
      <c r="R728">
        <v>55</v>
      </c>
      <c r="S728" t="str">
        <v>Electronics</v>
      </c>
      <c r="T728">
        <v>3</v>
      </c>
      <c r="U728">
        <v>500</v>
      </c>
      <c r="V728">
        <v>1500</v>
      </c>
      <c r="W728">
        <v>1500</v>
      </c>
      <c r="X728">
        <v>2023</v>
      </c>
    </row>
    <row r="729" spans="1:24" x14ac:dyDescent="0.35">
      <c r="A729">
        <v>728</v>
      </c>
      <c r="B729" s="1">
        <v>45121</v>
      </c>
      <c r="C729" s="2" t="s">
        <v>70</v>
      </c>
      <c r="D729" s="2" t="s">
        <v>756</v>
      </c>
      <c r="E729" s="2" t="s">
        <v>14</v>
      </c>
      <c r="F729">
        <v>51</v>
      </c>
      <c r="G729" s="2" t="s">
        <v>22</v>
      </c>
      <c r="H729">
        <v>3</v>
      </c>
      <c r="I729">
        <v>50</v>
      </c>
      <c r="J729">
        <v>150</v>
      </c>
      <c r="K729">
        <v>150</v>
      </c>
      <c r="L729">
        <v>2023</v>
      </c>
      <c r="M729">
        <v>609</v>
      </c>
      <c r="N729">
        <v>45279</v>
      </c>
      <c r="O729" t="str">
        <v>December</v>
      </c>
      <c r="P729" t="str">
        <v>CUST609</v>
      </c>
      <c r="Q729" t="str">
        <v>Female</v>
      </c>
      <c r="R729">
        <v>47</v>
      </c>
      <c r="S729" t="str">
        <v>Clothing</v>
      </c>
      <c r="T729">
        <v>2</v>
      </c>
      <c r="U729">
        <v>50</v>
      </c>
      <c r="V729">
        <v>100</v>
      </c>
      <c r="W729">
        <v>100</v>
      </c>
      <c r="X729">
        <v>2023</v>
      </c>
    </row>
    <row r="730" spans="1:24" x14ac:dyDescent="0.35">
      <c r="A730">
        <v>729</v>
      </c>
      <c r="B730" s="1">
        <v>45069</v>
      </c>
      <c r="C730" s="2" t="s">
        <v>23</v>
      </c>
      <c r="D730" s="2" t="s">
        <v>757</v>
      </c>
      <c r="E730" s="2" t="s">
        <v>14</v>
      </c>
      <c r="F730">
        <v>29</v>
      </c>
      <c r="G730" s="2" t="s">
        <v>19</v>
      </c>
      <c r="H730">
        <v>4</v>
      </c>
      <c r="I730">
        <v>300</v>
      </c>
      <c r="J730">
        <v>1200</v>
      </c>
      <c r="K730">
        <v>1200</v>
      </c>
      <c r="L730">
        <v>2023</v>
      </c>
      <c r="M730">
        <v>610</v>
      </c>
      <c r="N730">
        <v>44929</v>
      </c>
      <c r="O730" t="str">
        <v>January</v>
      </c>
      <c r="P730" t="str">
        <v>CUST610</v>
      </c>
      <c r="Q730" t="str">
        <v>Female</v>
      </c>
      <c r="R730">
        <v>26</v>
      </c>
      <c r="S730" t="str">
        <v>Beauty</v>
      </c>
      <c r="T730">
        <v>2</v>
      </c>
      <c r="U730">
        <v>300</v>
      </c>
      <c r="V730">
        <v>600</v>
      </c>
      <c r="W730">
        <v>600</v>
      </c>
      <c r="X730">
        <v>2023</v>
      </c>
    </row>
    <row r="731" spans="1:24" x14ac:dyDescent="0.35">
      <c r="A731">
        <v>730</v>
      </c>
      <c r="B731" s="1">
        <v>45142</v>
      </c>
      <c r="C731" s="2" t="s">
        <v>37</v>
      </c>
      <c r="D731" s="2" t="s">
        <v>758</v>
      </c>
      <c r="E731" s="2" t="s">
        <v>18</v>
      </c>
      <c r="F731">
        <v>36</v>
      </c>
      <c r="G731" s="2" t="s">
        <v>19</v>
      </c>
      <c r="H731">
        <v>2</v>
      </c>
      <c r="I731">
        <v>25</v>
      </c>
      <c r="J731">
        <v>50</v>
      </c>
      <c r="K731">
        <v>50</v>
      </c>
      <c r="L731">
        <v>2023</v>
      </c>
      <c r="M731">
        <v>611</v>
      </c>
      <c r="N731">
        <v>44981</v>
      </c>
      <c r="O731" t="str">
        <v>February</v>
      </c>
      <c r="P731" t="str">
        <v>CUST611</v>
      </c>
      <c r="Q731" t="str">
        <v>Male</v>
      </c>
      <c r="R731">
        <v>51</v>
      </c>
      <c r="S731" t="str">
        <v>Beauty</v>
      </c>
      <c r="T731">
        <v>3</v>
      </c>
      <c r="U731">
        <v>500</v>
      </c>
      <c r="V731">
        <v>1500</v>
      </c>
      <c r="W731">
        <v>1500</v>
      </c>
      <c r="X731">
        <v>2023</v>
      </c>
    </row>
    <row r="732" spans="1:24" x14ac:dyDescent="0.35">
      <c r="A732">
        <v>731</v>
      </c>
      <c r="B732" s="1">
        <v>45056</v>
      </c>
      <c r="C732" s="2" t="s">
        <v>23</v>
      </c>
      <c r="D732" s="2" t="s">
        <v>759</v>
      </c>
      <c r="E732" s="2" t="s">
        <v>14</v>
      </c>
      <c r="F732">
        <v>54</v>
      </c>
      <c r="G732" s="2" t="s">
        <v>19</v>
      </c>
      <c r="H732">
        <v>4</v>
      </c>
      <c r="I732">
        <v>500</v>
      </c>
      <c r="J732">
        <v>2000</v>
      </c>
      <c r="K732">
        <v>2000</v>
      </c>
      <c r="L732">
        <v>2023</v>
      </c>
      <c r="M732">
        <v>612</v>
      </c>
      <c r="N732">
        <v>45144</v>
      </c>
      <c r="O732" t="str">
        <v>August</v>
      </c>
      <c r="P732" t="str">
        <v>CUST612</v>
      </c>
      <c r="Q732" t="str">
        <v>Female</v>
      </c>
      <c r="R732">
        <v>61</v>
      </c>
      <c r="S732" t="str">
        <v>Electronics</v>
      </c>
      <c r="T732">
        <v>1</v>
      </c>
      <c r="U732">
        <v>500</v>
      </c>
      <c r="V732">
        <v>500</v>
      </c>
      <c r="W732">
        <v>500</v>
      </c>
      <c r="X732">
        <v>2023</v>
      </c>
    </row>
    <row r="733" spans="1:24" x14ac:dyDescent="0.35">
      <c r="A733">
        <v>732</v>
      </c>
      <c r="B733" s="1">
        <v>44968</v>
      </c>
      <c r="C733" s="2" t="s">
        <v>16</v>
      </c>
      <c r="D733" s="2" t="s">
        <v>760</v>
      </c>
      <c r="E733" s="2" t="s">
        <v>14</v>
      </c>
      <c r="F733">
        <v>61</v>
      </c>
      <c r="G733" s="2" t="s">
        <v>22</v>
      </c>
      <c r="H733">
        <v>2</v>
      </c>
      <c r="I733">
        <v>500</v>
      </c>
      <c r="J733">
        <v>1000</v>
      </c>
      <c r="K733">
        <v>1000</v>
      </c>
      <c r="L733">
        <v>2023</v>
      </c>
      <c r="M733">
        <v>613</v>
      </c>
      <c r="N733">
        <v>45039</v>
      </c>
      <c r="O733" t="str">
        <v>April</v>
      </c>
      <c r="P733" t="str">
        <v>CUST613</v>
      </c>
      <c r="Q733" t="str">
        <v>Female</v>
      </c>
      <c r="R733">
        <v>52</v>
      </c>
      <c r="S733" t="str">
        <v>Clothing</v>
      </c>
      <c r="T733">
        <v>3</v>
      </c>
      <c r="U733">
        <v>30</v>
      </c>
      <c r="V733">
        <v>90</v>
      </c>
      <c r="W733">
        <v>90</v>
      </c>
      <c r="X733">
        <v>2023</v>
      </c>
    </row>
    <row r="734" spans="1:24" x14ac:dyDescent="0.35">
      <c r="A734">
        <v>733</v>
      </c>
      <c r="B734" s="1">
        <v>45167</v>
      </c>
      <c r="C734" s="2" t="s">
        <v>37</v>
      </c>
      <c r="D734" s="2" t="s">
        <v>761</v>
      </c>
      <c r="E734" s="2" t="s">
        <v>14</v>
      </c>
      <c r="F734">
        <v>34</v>
      </c>
      <c r="G734" s="2" t="s">
        <v>15</v>
      </c>
      <c r="H734">
        <v>1</v>
      </c>
      <c r="I734">
        <v>30</v>
      </c>
      <c r="J734">
        <v>30</v>
      </c>
      <c r="K734">
        <v>30</v>
      </c>
      <c r="L734">
        <v>2023</v>
      </c>
      <c r="M734">
        <v>614</v>
      </c>
      <c r="N734">
        <v>45017</v>
      </c>
      <c r="O734" t="str">
        <v>April</v>
      </c>
      <c r="P734" t="str">
        <v>CUST614</v>
      </c>
      <c r="Q734" t="str">
        <v>Female</v>
      </c>
      <c r="R734">
        <v>39</v>
      </c>
      <c r="S734" t="str">
        <v>Beauty</v>
      </c>
      <c r="T734">
        <v>4</v>
      </c>
      <c r="U734">
        <v>300</v>
      </c>
      <c r="V734">
        <v>1200</v>
      </c>
      <c r="W734">
        <v>1200</v>
      </c>
      <c r="X734">
        <v>2023</v>
      </c>
    </row>
    <row r="735" spans="1:24" x14ac:dyDescent="0.35">
      <c r="A735">
        <v>734</v>
      </c>
      <c r="B735" s="1">
        <v>44936</v>
      </c>
      <c r="C735" s="2" t="s">
        <v>20</v>
      </c>
      <c r="D735" s="2" t="s">
        <v>762</v>
      </c>
      <c r="E735" s="2" t="s">
        <v>18</v>
      </c>
      <c r="F735">
        <v>27</v>
      </c>
      <c r="G735" s="2" t="s">
        <v>19</v>
      </c>
      <c r="H735">
        <v>1</v>
      </c>
      <c r="I735">
        <v>30</v>
      </c>
      <c r="J735">
        <v>30</v>
      </c>
      <c r="K735">
        <v>30</v>
      </c>
      <c r="L735">
        <v>2023</v>
      </c>
      <c r="M735">
        <v>615</v>
      </c>
      <c r="N735">
        <v>45283</v>
      </c>
      <c r="O735" t="str">
        <v>December</v>
      </c>
      <c r="P735" t="str">
        <v>CUST615</v>
      </c>
      <c r="Q735" t="str">
        <v>Female</v>
      </c>
      <c r="R735">
        <v>61</v>
      </c>
      <c r="S735" t="str">
        <v>Clothing</v>
      </c>
      <c r="T735">
        <v>4</v>
      </c>
      <c r="U735">
        <v>25</v>
      </c>
      <c r="V735">
        <v>100</v>
      </c>
      <c r="W735">
        <v>100</v>
      </c>
      <c r="X735">
        <v>2023</v>
      </c>
    </row>
    <row r="736" spans="1:24" x14ac:dyDescent="0.35">
      <c r="A736">
        <v>735</v>
      </c>
      <c r="B736" s="1">
        <v>45203</v>
      </c>
      <c r="C736" s="2" t="s">
        <v>33</v>
      </c>
      <c r="D736" s="2" t="s">
        <v>763</v>
      </c>
      <c r="E736" s="2" t="s">
        <v>18</v>
      </c>
      <c r="F736">
        <v>64</v>
      </c>
      <c r="G736" s="2" t="s">
        <v>19</v>
      </c>
      <c r="H736">
        <v>4</v>
      </c>
      <c r="I736">
        <v>500</v>
      </c>
      <c r="J736">
        <v>2000</v>
      </c>
      <c r="K736">
        <v>2000</v>
      </c>
      <c r="L736">
        <v>2023</v>
      </c>
      <c r="M736">
        <v>616</v>
      </c>
      <c r="N736">
        <v>45192</v>
      </c>
      <c r="O736" t="str">
        <v>September</v>
      </c>
      <c r="P736" t="str">
        <v>CUST616</v>
      </c>
      <c r="Q736" t="str">
        <v>Male</v>
      </c>
      <c r="R736">
        <v>41</v>
      </c>
      <c r="S736" t="str">
        <v>Clothing</v>
      </c>
      <c r="T736">
        <v>2</v>
      </c>
      <c r="U736">
        <v>50</v>
      </c>
      <c r="V736">
        <v>100</v>
      </c>
      <c r="W736">
        <v>100</v>
      </c>
      <c r="X736">
        <v>2023</v>
      </c>
    </row>
    <row r="737" spans="1:24" x14ac:dyDescent="0.35">
      <c r="A737">
        <v>736</v>
      </c>
      <c r="B737" s="1">
        <v>44953</v>
      </c>
      <c r="C737" s="2" t="s">
        <v>20</v>
      </c>
      <c r="D737" s="2" t="s">
        <v>764</v>
      </c>
      <c r="E737" s="2" t="s">
        <v>14</v>
      </c>
      <c r="F737">
        <v>29</v>
      </c>
      <c r="G737" s="2" t="s">
        <v>19</v>
      </c>
      <c r="H737">
        <v>4</v>
      </c>
      <c r="I737">
        <v>25</v>
      </c>
      <c r="J737">
        <v>100</v>
      </c>
      <c r="K737">
        <v>100</v>
      </c>
      <c r="L737">
        <v>2023</v>
      </c>
      <c r="M737">
        <v>617</v>
      </c>
      <c r="N737">
        <v>45164</v>
      </c>
      <c r="O737" t="str">
        <v>August</v>
      </c>
      <c r="P737" t="str">
        <v>CUST617</v>
      </c>
      <c r="Q737" t="str">
        <v>Male</v>
      </c>
      <c r="R737">
        <v>34</v>
      </c>
      <c r="S737" t="str">
        <v>Electronics</v>
      </c>
      <c r="T737">
        <v>1</v>
      </c>
      <c r="U737">
        <v>30</v>
      </c>
      <c r="V737">
        <v>30</v>
      </c>
      <c r="W737">
        <v>30</v>
      </c>
      <c r="X737">
        <v>2023</v>
      </c>
    </row>
    <row r="738" spans="1:24" x14ac:dyDescent="0.35">
      <c r="A738">
        <v>737</v>
      </c>
      <c r="B738" s="1">
        <v>45106</v>
      </c>
      <c r="C738" s="2" t="s">
        <v>62</v>
      </c>
      <c r="D738" s="2" t="s">
        <v>765</v>
      </c>
      <c r="E738" s="2" t="s">
        <v>18</v>
      </c>
      <c r="F738">
        <v>33</v>
      </c>
      <c r="G738" s="2" t="s">
        <v>19</v>
      </c>
      <c r="H738">
        <v>1</v>
      </c>
      <c r="I738">
        <v>50</v>
      </c>
      <c r="J738">
        <v>50</v>
      </c>
      <c r="K738">
        <v>50</v>
      </c>
      <c r="L738">
        <v>2023</v>
      </c>
      <c r="M738">
        <v>618</v>
      </c>
      <c r="N738">
        <v>44952</v>
      </c>
      <c r="O738" t="str">
        <v>January</v>
      </c>
      <c r="P738" t="str">
        <v>CUST618</v>
      </c>
      <c r="Q738" t="str">
        <v>Female</v>
      </c>
      <c r="R738">
        <v>27</v>
      </c>
      <c r="S738" t="str">
        <v>Beauty</v>
      </c>
      <c r="T738">
        <v>1</v>
      </c>
      <c r="U738">
        <v>50</v>
      </c>
      <c r="V738">
        <v>50</v>
      </c>
      <c r="W738">
        <v>50</v>
      </c>
      <c r="X738">
        <v>2023</v>
      </c>
    </row>
    <row r="739" spans="1:24" x14ac:dyDescent="0.35">
      <c r="A739">
        <v>738</v>
      </c>
      <c r="B739" s="1">
        <v>45041</v>
      </c>
      <c r="C739" s="2" t="s">
        <v>26</v>
      </c>
      <c r="D739" s="2" t="s">
        <v>766</v>
      </c>
      <c r="E739" s="2" t="s">
        <v>14</v>
      </c>
      <c r="F739">
        <v>41</v>
      </c>
      <c r="G739" s="2" t="s">
        <v>19</v>
      </c>
      <c r="H739">
        <v>2</v>
      </c>
      <c r="I739">
        <v>50</v>
      </c>
      <c r="J739">
        <v>100</v>
      </c>
      <c r="K739">
        <v>100</v>
      </c>
      <c r="L739">
        <v>2023</v>
      </c>
      <c r="M739">
        <v>619</v>
      </c>
      <c r="N739">
        <v>45212</v>
      </c>
      <c r="O739" t="str">
        <v>October</v>
      </c>
      <c r="P739" t="str">
        <v>CUST619</v>
      </c>
      <c r="Q739" t="str">
        <v>Male</v>
      </c>
      <c r="R739">
        <v>47</v>
      </c>
      <c r="S739" t="str">
        <v>Electronics</v>
      </c>
      <c r="T739">
        <v>4</v>
      </c>
      <c r="U739">
        <v>25</v>
      </c>
      <c r="V739">
        <v>100</v>
      </c>
      <c r="W739">
        <v>100</v>
      </c>
      <c r="X739">
        <v>2023</v>
      </c>
    </row>
    <row r="740" spans="1:24" x14ac:dyDescent="0.35">
      <c r="A740">
        <v>739</v>
      </c>
      <c r="B740" s="1">
        <v>45259</v>
      </c>
      <c r="C740" s="2" t="s">
        <v>12</v>
      </c>
      <c r="D740" s="2" t="s">
        <v>767</v>
      </c>
      <c r="E740" s="2" t="s">
        <v>14</v>
      </c>
      <c r="F740">
        <v>36</v>
      </c>
      <c r="G740" s="2" t="s">
        <v>15</v>
      </c>
      <c r="H740">
        <v>1</v>
      </c>
      <c r="I740">
        <v>25</v>
      </c>
      <c r="J740">
        <v>25</v>
      </c>
      <c r="K740">
        <v>25</v>
      </c>
      <c r="L740">
        <v>2023</v>
      </c>
      <c r="M740">
        <v>620</v>
      </c>
      <c r="N740">
        <v>45054</v>
      </c>
      <c r="O740" t="str">
        <v>May</v>
      </c>
      <c r="P740" t="str">
        <v>CUST620</v>
      </c>
      <c r="Q740" t="str">
        <v>Male</v>
      </c>
      <c r="R740">
        <v>63</v>
      </c>
      <c r="S740" t="str">
        <v>Electronics</v>
      </c>
      <c r="T740">
        <v>3</v>
      </c>
      <c r="U740">
        <v>25</v>
      </c>
      <c r="V740">
        <v>75</v>
      </c>
      <c r="W740">
        <v>75</v>
      </c>
      <c r="X740">
        <v>2023</v>
      </c>
    </row>
    <row r="741" spans="1:24" x14ac:dyDescent="0.35">
      <c r="A741">
        <v>740</v>
      </c>
      <c r="B741" s="1">
        <v>44962</v>
      </c>
      <c r="C741" s="2" t="s">
        <v>16</v>
      </c>
      <c r="D741" s="2" t="s">
        <v>768</v>
      </c>
      <c r="E741" s="2" t="s">
        <v>18</v>
      </c>
      <c r="F741">
        <v>25</v>
      </c>
      <c r="G741" s="2" t="s">
        <v>15</v>
      </c>
      <c r="H741">
        <v>4</v>
      </c>
      <c r="I741">
        <v>50</v>
      </c>
      <c r="J741">
        <v>200</v>
      </c>
      <c r="K741">
        <v>200</v>
      </c>
      <c r="L741">
        <v>2023</v>
      </c>
      <c r="M741">
        <v>621</v>
      </c>
      <c r="N741">
        <v>44989</v>
      </c>
      <c r="O741" t="str">
        <v>March</v>
      </c>
      <c r="P741" t="str">
        <v>CUST621</v>
      </c>
      <c r="Q741" t="str">
        <v>Female</v>
      </c>
      <c r="R741">
        <v>40</v>
      </c>
      <c r="S741" t="str">
        <v>Beauty</v>
      </c>
      <c r="T741">
        <v>2</v>
      </c>
      <c r="U741">
        <v>500</v>
      </c>
      <c r="V741">
        <v>1000</v>
      </c>
      <c r="W741">
        <v>1000</v>
      </c>
      <c r="X741">
        <v>2023</v>
      </c>
    </row>
    <row r="742" spans="1:24" x14ac:dyDescent="0.35">
      <c r="A742">
        <v>741</v>
      </c>
      <c r="B742" s="1">
        <v>45260</v>
      </c>
      <c r="C742" s="2" t="s">
        <v>12</v>
      </c>
      <c r="D742" s="2" t="s">
        <v>769</v>
      </c>
      <c r="E742" s="2" t="s">
        <v>14</v>
      </c>
      <c r="F742">
        <v>48</v>
      </c>
      <c r="G742" s="2" t="s">
        <v>19</v>
      </c>
      <c r="H742">
        <v>1</v>
      </c>
      <c r="I742">
        <v>300</v>
      </c>
      <c r="J742">
        <v>300</v>
      </c>
      <c r="K742">
        <v>300</v>
      </c>
      <c r="L742">
        <v>2023</v>
      </c>
      <c r="M742">
        <v>622</v>
      </c>
      <c r="N742">
        <v>45160</v>
      </c>
      <c r="O742" t="str">
        <v>August</v>
      </c>
      <c r="P742" t="str">
        <v>CUST622</v>
      </c>
      <c r="Q742" t="str">
        <v>Female</v>
      </c>
      <c r="R742">
        <v>49</v>
      </c>
      <c r="S742" t="str">
        <v>Beauty</v>
      </c>
      <c r="T742">
        <v>3</v>
      </c>
      <c r="U742">
        <v>25</v>
      </c>
      <c r="V742">
        <v>75</v>
      </c>
      <c r="W742">
        <v>75</v>
      </c>
      <c r="X742">
        <v>2023</v>
      </c>
    </row>
    <row r="743" spans="1:24" x14ac:dyDescent="0.35">
      <c r="A743">
        <v>742</v>
      </c>
      <c r="B743" s="1">
        <v>44947</v>
      </c>
      <c r="C743" s="2" t="s">
        <v>20</v>
      </c>
      <c r="D743" s="2" t="s">
        <v>770</v>
      </c>
      <c r="E743" s="2" t="s">
        <v>18</v>
      </c>
      <c r="F743">
        <v>38</v>
      </c>
      <c r="G743" s="2" t="s">
        <v>22</v>
      </c>
      <c r="H743">
        <v>4</v>
      </c>
      <c r="I743">
        <v>500</v>
      </c>
      <c r="J743">
        <v>2000</v>
      </c>
      <c r="K743">
        <v>2000</v>
      </c>
      <c r="L743">
        <v>2023</v>
      </c>
      <c r="M743">
        <v>623</v>
      </c>
      <c r="N743">
        <v>44995</v>
      </c>
      <c r="O743" t="str">
        <v>March</v>
      </c>
      <c r="P743" t="str">
        <v>CUST623</v>
      </c>
      <c r="Q743" t="str">
        <v>Male</v>
      </c>
      <c r="R743">
        <v>34</v>
      </c>
      <c r="S743" t="str">
        <v>Clothing</v>
      </c>
      <c r="T743">
        <v>3</v>
      </c>
      <c r="U743">
        <v>50</v>
      </c>
      <c r="V743">
        <v>150</v>
      </c>
      <c r="W743">
        <v>150</v>
      </c>
      <c r="X743">
        <v>2023</v>
      </c>
    </row>
    <row r="744" spans="1:24" x14ac:dyDescent="0.35">
      <c r="A744">
        <v>743</v>
      </c>
      <c r="B744" s="1">
        <v>44942</v>
      </c>
      <c r="C744" s="2" t="s">
        <v>20</v>
      </c>
      <c r="D744" s="2" t="s">
        <v>771</v>
      </c>
      <c r="E744" s="2" t="s">
        <v>18</v>
      </c>
      <c r="F744">
        <v>34</v>
      </c>
      <c r="G744" s="2" t="s">
        <v>15</v>
      </c>
      <c r="H744">
        <v>4</v>
      </c>
      <c r="I744">
        <v>500</v>
      </c>
      <c r="J744">
        <v>2000</v>
      </c>
      <c r="K744">
        <v>2000</v>
      </c>
      <c r="L744">
        <v>2023</v>
      </c>
      <c r="M744">
        <v>624</v>
      </c>
      <c r="N744">
        <v>45164</v>
      </c>
      <c r="O744" t="str">
        <v>August</v>
      </c>
      <c r="P744" t="str">
        <v>CUST624</v>
      </c>
      <c r="Q744" t="str">
        <v>Female</v>
      </c>
      <c r="R744">
        <v>34</v>
      </c>
      <c r="S744" t="str">
        <v>Beauty</v>
      </c>
      <c r="T744">
        <v>3</v>
      </c>
      <c r="U744">
        <v>300</v>
      </c>
      <c r="V744">
        <v>900</v>
      </c>
      <c r="W744">
        <v>900</v>
      </c>
      <c r="X744">
        <v>2023</v>
      </c>
    </row>
    <row r="745" spans="1:24" x14ac:dyDescent="0.35">
      <c r="A745">
        <v>744</v>
      </c>
      <c r="B745" s="1">
        <v>45053</v>
      </c>
      <c r="C745" s="2" t="s">
        <v>23</v>
      </c>
      <c r="D745" s="2" t="s">
        <v>772</v>
      </c>
      <c r="E745" s="2" t="s">
        <v>14</v>
      </c>
      <c r="F745">
        <v>40</v>
      </c>
      <c r="G745" s="2" t="s">
        <v>22</v>
      </c>
      <c r="H745">
        <v>1</v>
      </c>
      <c r="I745">
        <v>25</v>
      </c>
      <c r="J745">
        <v>25</v>
      </c>
      <c r="K745">
        <v>25</v>
      </c>
      <c r="L745">
        <v>2023</v>
      </c>
      <c r="M745">
        <v>625</v>
      </c>
      <c r="N745">
        <v>45268</v>
      </c>
      <c r="O745" t="str">
        <v>December</v>
      </c>
      <c r="P745" t="str">
        <v>CUST625</v>
      </c>
      <c r="Q745" t="str">
        <v>Male</v>
      </c>
      <c r="R745">
        <v>31</v>
      </c>
      <c r="S745" t="str">
        <v>Clothing</v>
      </c>
      <c r="T745">
        <v>1</v>
      </c>
      <c r="U745">
        <v>300</v>
      </c>
      <c r="V745">
        <v>300</v>
      </c>
      <c r="W745">
        <v>300</v>
      </c>
      <c r="X745">
        <v>2023</v>
      </c>
    </row>
    <row r="746" spans="1:24" x14ac:dyDescent="0.35">
      <c r="A746">
        <v>745</v>
      </c>
      <c r="B746" s="1">
        <v>45029</v>
      </c>
      <c r="C746" s="2" t="s">
        <v>26</v>
      </c>
      <c r="D746" s="2" t="s">
        <v>773</v>
      </c>
      <c r="E746" s="2" t="s">
        <v>14</v>
      </c>
      <c r="F746">
        <v>54</v>
      </c>
      <c r="G746" s="2" t="s">
        <v>15</v>
      </c>
      <c r="H746">
        <v>2</v>
      </c>
      <c r="I746">
        <v>50</v>
      </c>
      <c r="J746">
        <v>100</v>
      </c>
      <c r="K746">
        <v>100</v>
      </c>
      <c r="L746">
        <v>2023</v>
      </c>
      <c r="M746">
        <v>626</v>
      </c>
      <c r="N746">
        <v>45198</v>
      </c>
      <c r="O746" t="str">
        <v>September</v>
      </c>
      <c r="P746" t="str">
        <v>CUST626</v>
      </c>
      <c r="Q746" t="str">
        <v>Female</v>
      </c>
      <c r="R746">
        <v>26</v>
      </c>
      <c r="S746" t="str">
        <v>Clothing</v>
      </c>
      <c r="T746">
        <v>4</v>
      </c>
      <c r="U746">
        <v>500</v>
      </c>
      <c r="V746">
        <v>2000</v>
      </c>
      <c r="W746">
        <v>2000</v>
      </c>
      <c r="X746">
        <v>2023</v>
      </c>
    </row>
    <row r="747" spans="1:24" x14ac:dyDescent="0.35">
      <c r="A747">
        <v>746</v>
      </c>
      <c r="B747" s="1">
        <v>44937</v>
      </c>
      <c r="C747" s="2" t="s">
        <v>20</v>
      </c>
      <c r="D747" s="2" t="s">
        <v>774</v>
      </c>
      <c r="E747" s="2" t="s">
        <v>18</v>
      </c>
      <c r="F747">
        <v>33</v>
      </c>
      <c r="G747" s="2" t="s">
        <v>19</v>
      </c>
      <c r="H747">
        <v>3</v>
      </c>
      <c r="I747">
        <v>30</v>
      </c>
      <c r="J747">
        <v>90</v>
      </c>
      <c r="K747">
        <v>90</v>
      </c>
      <c r="L747">
        <v>2023</v>
      </c>
      <c r="M747">
        <v>627</v>
      </c>
      <c r="N747">
        <v>45213</v>
      </c>
      <c r="O747" t="str">
        <v>October</v>
      </c>
      <c r="P747" t="str">
        <v>CUST627</v>
      </c>
      <c r="Q747" t="str">
        <v>Male</v>
      </c>
      <c r="R747">
        <v>57</v>
      </c>
      <c r="S747" t="str">
        <v>Clothing</v>
      </c>
      <c r="T747">
        <v>1</v>
      </c>
      <c r="U747">
        <v>50</v>
      </c>
      <c r="V747">
        <v>50</v>
      </c>
      <c r="W747">
        <v>50</v>
      </c>
      <c r="X747">
        <v>2023</v>
      </c>
    </row>
    <row r="748" spans="1:24" x14ac:dyDescent="0.35">
      <c r="A748">
        <v>747</v>
      </c>
      <c r="B748" s="1">
        <v>45245</v>
      </c>
      <c r="C748" s="2" t="s">
        <v>12</v>
      </c>
      <c r="D748" s="2" t="s">
        <v>775</v>
      </c>
      <c r="E748" s="2" t="s">
        <v>14</v>
      </c>
      <c r="F748">
        <v>23</v>
      </c>
      <c r="G748" s="2" t="s">
        <v>15</v>
      </c>
      <c r="H748">
        <v>1</v>
      </c>
      <c r="I748">
        <v>30</v>
      </c>
      <c r="J748">
        <v>30</v>
      </c>
      <c r="K748">
        <v>30</v>
      </c>
      <c r="L748">
        <v>2023</v>
      </c>
      <c r="M748">
        <v>628</v>
      </c>
      <c r="N748">
        <v>45231</v>
      </c>
      <c r="O748" t="str">
        <v>November</v>
      </c>
      <c r="P748" t="str">
        <v>CUST628</v>
      </c>
      <c r="Q748" t="str">
        <v>Female</v>
      </c>
      <c r="R748">
        <v>19</v>
      </c>
      <c r="S748" t="str">
        <v>Beauty</v>
      </c>
      <c r="T748">
        <v>4</v>
      </c>
      <c r="U748">
        <v>50</v>
      </c>
      <c r="V748">
        <v>200</v>
      </c>
      <c r="W748">
        <v>200</v>
      </c>
      <c r="X748">
        <v>2023</v>
      </c>
    </row>
    <row r="749" spans="1:24" x14ac:dyDescent="0.35">
      <c r="A749">
        <v>748</v>
      </c>
      <c r="B749" s="1">
        <v>45005</v>
      </c>
      <c r="C749" s="2" t="s">
        <v>28</v>
      </c>
      <c r="D749" s="2" t="s">
        <v>776</v>
      </c>
      <c r="E749" s="2" t="s">
        <v>14</v>
      </c>
      <c r="F749">
        <v>25</v>
      </c>
      <c r="G749" s="2" t="s">
        <v>19</v>
      </c>
      <c r="H749">
        <v>3</v>
      </c>
      <c r="I749">
        <v>50</v>
      </c>
      <c r="J749">
        <v>150</v>
      </c>
      <c r="K749">
        <v>150</v>
      </c>
      <c r="L749">
        <v>2023</v>
      </c>
      <c r="M749">
        <v>629</v>
      </c>
      <c r="N749">
        <v>45089</v>
      </c>
      <c r="O749" t="str">
        <v>June</v>
      </c>
      <c r="P749" t="str">
        <v>CUST629</v>
      </c>
      <c r="Q749" t="str">
        <v>Male</v>
      </c>
      <c r="R749">
        <v>62</v>
      </c>
      <c r="S749" t="str">
        <v>Electronics</v>
      </c>
      <c r="T749">
        <v>2</v>
      </c>
      <c r="U749">
        <v>25</v>
      </c>
      <c r="V749">
        <v>50</v>
      </c>
      <c r="W749">
        <v>50</v>
      </c>
      <c r="X749">
        <v>2023</v>
      </c>
    </row>
    <row r="750" spans="1:24" x14ac:dyDescent="0.35">
      <c r="A750">
        <v>749</v>
      </c>
      <c r="B750" s="1">
        <v>45049</v>
      </c>
      <c r="C750" s="2" t="s">
        <v>23</v>
      </c>
      <c r="D750" s="2" t="s">
        <v>777</v>
      </c>
      <c r="E750" s="2" t="s">
        <v>14</v>
      </c>
      <c r="F750">
        <v>42</v>
      </c>
      <c r="G750" s="2" t="s">
        <v>15</v>
      </c>
      <c r="H750">
        <v>1</v>
      </c>
      <c r="I750">
        <v>30</v>
      </c>
      <c r="J750">
        <v>30</v>
      </c>
      <c r="K750">
        <v>30</v>
      </c>
      <c r="L750">
        <v>2023</v>
      </c>
      <c r="M750">
        <v>630</v>
      </c>
      <c r="N750">
        <v>45153</v>
      </c>
      <c r="O750" t="str">
        <v>August</v>
      </c>
      <c r="P750" t="str">
        <v>CUST630</v>
      </c>
      <c r="Q750" t="str">
        <v>Male</v>
      </c>
      <c r="R750">
        <v>42</v>
      </c>
      <c r="S750" t="str">
        <v>Clothing</v>
      </c>
      <c r="T750">
        <v>2</v>
      </c>
      <c r="U750">
        <v>50</v>
      </c>
      <c r="V750">
        <v>100</v>
      </c>
      <c r="W750">
        <v>100</v>
      </c>
      <c r="X750">
        <v>2023</v>
      </c>
    </row>
    <row r="751" spans="1:24" x14ac:dyDescent="0.35">
      <c r="A751">
        <v>750</v>
      </c>
      <c r="B751" s="1">
        <v>44991</v>
      </c>
      <c r="C751" s="2" t="s">
        <v>28</v>
      </c>
      <c r="D751" s="2" t="s">
        <v>778</v>
      </c>
      <c r="E751" s="2" t="s">
        <v>18</v>
      </c>
      <c r="F751">
        <v>35</v>
      </c>
      <c r="G751" s="2" t="s">
        <v>19</v>
      </c>
      <c r="H751">
        <v>3</v>
      </c>
      <c r="I751">
        <v>25</v>
      </c>
      <c r="J751">
        <v>75</v>
      </c>
      <c r="K751">
        <v>75</v>
      </c>
      <c r="L751">
        <v>2023</v>
      </c>
      <c r="M751">
        <v>631</v>
      </c>
      <c r="N751">
        <v>45240</v>
      </c>
      <c r="O751" t="str">
        <v>November</v>
      </c>
      <c r="P751" t="str">
        <v>CUST631</v>
      </c>
      <c r="Q751" t="str">
        <v>Male</v>
      </c>
      <c r="R751">
        <v>56</v>
      </c>
      <c r="S751" t="str">
        <v>Electronics</v>
      </c>
      <c r="T751">
        <v>3</v>
      </c>
      <c r="U751">
        <v>30</v>
      </c>
      <c r="V751">
        <v>90</v>
      </c>
      <c r="W751">
        <v>90</v>
      </c>
      <c r="X751">
        <v>2023</v>
      </c>
    </row>
    <row r="752" spans="1:24" x14ac:dyDescent="0.35">
      <c r="A752">
        <v>751</v>
      </c>
      <c r="B752" s="1">
        <v>45169</v>
      </c>
      <c r="C752" s="2" t="s">
        <v>37</v>
      </c>
      <c r="D752" s="2" t="s">
        <v>779</v>
      </c>
      <c r="E752" s="2" t="s">
        <v>18</v>
      </c>
      <c r="F752">
        <v>42</v>
      </c>
      <c r="G752" s="2" t="s">
        <v>19</v>
      </c>
      <c r="H752">
        <v>2</v>
      </c>
      <c r="I752">
        <v>25</v>
      </c>
      <c r="J752">
        <v>50</v>
      </c>
      <c r="K752">
        <v>50</v>
      </c>
      <c r="L752">
        <v>2023</v>
      </c>
      <c r="M752">
        <v>632</v>
      </c>
      <c r="N752">
        <v>45185</v>
      </c>
      <c r="O752" t="str">
        <v>September</v>
      </c>
      <c r="P752" t="str">
        <v>CUST632</v>
      </c>
      <c r="Q752" t="str">
        <v>Female</v>
      </c>
      <c r="R752">
        <v>26</v>
      </c>
      <c r="S752" t="str">
        <v>Electronics</v>
      </c>
      <c r="T752">
        <v>4</v>
      </c>
      <c r="U752">
        <v>25</v>
      </c>
      <c r="V752">
        <v>100</v>
      </c>
      <c r="W752">
        <v>100</v>
      </c>
      <c r="X752">
        <v>2023</v>
      </c>
    </row>
    <row r="753" spans="1:24" x14ac:dyDescent="0.35">
      <c r="A753">
        <v>752</v>
      </c>
      <c r="B753" s="1">
        <v>45269</v>
      </c>
      <c r="C753" s="2" t="s">
        <v>31</v>
      </c>
      <c r="D753" s="2" t="s">
        <v>780</v>
      </c>
      <c r="E753" s="2" t="s">
        <v>14</v>
      </c>
      <c r="F753">
        <v>29</v>
      </c>
      <c r="G753" s="2" t="s">
        <v>19</v>
      </c>
      <c r="H753">
        <v>2</v>
      </c>
      <c r="I753">
        <v>50</v>
      </c>
      <c r="J753">
        <v>100</v>
      </c>
      <c r="K753">
        <v>100</v>
      </c>
      <c r="L753">
        <v>2023</v>
      </c>
      <c r="M753">
        <v>633</v>
      </c>
      <c r="N753">
        <v>45145</v>
      </c>
      <c r="O753" t="str">
        <v>August</v>
      </c>
      <c r="P753" t="str">
        <v>CUST633</v>
      </c>
      <c r="Q753" t="str">
        <v>Male</v>
      </c>
      <c r="R753">
        <v>39</v>
      </c>
      <c r="S753" t="str">
        <v>Beauty</v>
      </c>
      <c r="T753">
        <v>4</v>
      </c>
      <c r="U753">
        <v>30</v>
      </c>
      <c r="V753">
        <v>120</v>
      </c>
      <c r="W753">
        <v>120</v>
      </c>
      <c r="X753">
        <v>2023</v>
      </c>
    </row>
    <row r="754" spans="1:24" x14ac:dyDescent="0.35">
      <c r="A754">
        <v>753</v>
      </c>
      <c r="B754" s="1">
        <v>44985</v>
      </c>
      <c r="C754" s="2" t="s">
        <v>16</v>
      </c>
      <c r="D754" s="2" t="s">
        <v>781</v>
      </c>
      <c r="E754" s="2" t="s">
        <v>18</v>
      </c>
      <c r="F754">
        <v>32</v>
      </c>
      <c r="G754" s="2" t="s">
        <v>19</v>
      </c>
      <c r="H754">
        <v>1</v>
      </c>
      <c r="I754">
        <v>30</v>
      </c>
      <c r="J754">
        <v>30</v>
      </c>
      <c r="K754">
        <v>30</v>
      </c>
      <c r="L754">
        <v>2023</v>
      </c>
      <c r="M754">
        <v>634</v>
      </c>
      <c r="N754">
        <v>45207</v>
      </c>
      <c r="O754" t="str">
        <v>October</v>
      </c>
      <c r="P754" t="str">
        <v>CUST634</v>
      </c>
      <c r="Q754" t="str">
        <v>Male</v>
      </c>
      <c r="R754">
        <v>60</v>
      </c>
      <c r="S754" t="str">
        <v>Electronics</v>
      </c>
      <c r="T754">
        <v>4</v>
      </c>
      <c r="U754">
        <v>500</v>
      </c>
      <c r="V754">
        <v>2000</v>
      </c>
      <c r="W754">
        <v>2000</v>
      </c>
      <c r="X754">
        <v>2023</v>
      </c>
    </row>
    <row r="755" spans="1:24" x14ac:dyDescent="0.35">
      <c r="A755">
        <v>754</v>
      </c>
      <c r="B755" s="1">
        <v>45215</v>
      </c>
      <c r="C755" s="2" t="s">
        <v>33</v>
      </c>
      <c r="D755" s="2" t="s">
        <v>782</v>
      </c>
      <c r="E755" s="2" t="s">
        <v>18</v>
      </c>
      <c r="F755">
        <v>43</v>
      </c>
      <c r="G755" s="2" t="s">
        <v>22</v>
      </c>
      <c r="H755">
        <v>4</v>
      </c>
      <c r="I755">
        <v>25</v>
      </c>
      <c r="J755">
        <v>100</v>
      </c>
      <c r="K755">
        <v>100</v>
      </c>
      <c r="L755">
        <v>2023</v>
      </c>
      <c r="M755">
        <v>635</v>
      </c>
      <c r="N755">
        <v>45155</v>
      </c>
      <c r="O755" t="str">
        <v>August</v>
      </c>
      <c r="P755" t="str">
        <v>CUST635</v>
      </c>
      <c r="Q755" t="str">
        <v>Female</v>
      </c>
      <c r="R755">
        <v>63</v>
      </c>
      <c r="S755" t="str">
        <v>Electronics</v>
      </c>
      <c r="T755">
        <v>3</v>
      </c>
      <c r="U755">
        <v>300</v>
      </c>
      <c r="V755">
        <v>900</v>
      </c>
      <c r="W755">
        <v>900</v>
      </c>
      <c r="X755">
        <v>2023</v>
      </c>
    </row>
    <row r="756" spans="1:24" x14ac:dyDescent="0.35">
      <c r="A756">
        <v>755</v>
      </c>
      <c r="B756" s="1">
        <v>45038</v>
      </c>
      <c r="C756" s="2" t="s">
        <v>26</v>
      </c>
      <c r="D756" s="2" t="s">
        <v>783</v>
      </c>
      <c r="E756" s="2" t="s">
        <v>18</v>
      </c>
      <c r="F756">
        <v>58</v>
      </c>
      <c r="G756" s="2" t="s">
        <v>19</v>
      </c>
      <c r="H756">
        <v>3</v>
      </c>
      <c r="I756">
        <v>25</v>
      </c>
      <c r="J756">
        <v>75</v>
      </c>
      <c r="K756">
        <v>75</v>
      </c>
      <c r="L756">
        <v>2023</v>
      </c>
      <c r="M756">
        <v>636</v>
      </c>
      <c r="N756">
        <v>45008</v>
      </c>
      <c r="O756" t="str">
        <v>March</v>
      </c>
      <c r="P756" t="str">
        <v>CUST636</v>
      </c>
      <c r="Q756" t="str">
        <v>Female</v>
      </c>
      <c r="R756">
        <v>21</v>
      </c>
      <c r="S756" t="str">
        <v>Beauty</v>
      </c>
      <c r="T756">
        <v>3</v>
      </c>
      <c r="U756">
        <v>500</v>
      </c>
      <c r="V756">
        <v>1500</v>
      </c>
      <c r="W756">
        <v>1500</v>
      </c>
      <c r="X756">
        <v>2023</v>
      </c>
    </row>
    <row r="757" spans="1:24" x14ac:dyDescent="0.35">
      <c r="A757">
        <v>756</v>
      </c>
      <c r="B757" s="1">
        <v>45165</v>
      </c>
      <c r="C757" s="2" t="s">
        <v>37</v>
      </c>
      <c r="D757" s="2" t="s">
        <v>784</v>
      </c>
      <c r="E757" s="2" t="s">
        <v>18</v>
      </c>
      <c r="F757">
        <v>62</v>
      </c>
      <c r="G757" s="2" t="s">
        <v>22</v>
      </c>
      <c r="H757">
        <v>4</v>
      </c>
      <c r="I757">
        <v>300</v>
      </c>
      <c r="J757">
        <v>1200</v>
      </c>
      <c r="K757">
        <v>1200</v>
      </c>
      <c r="L757">
        <v>2023</v>
      </c>
      <c r="M757">
        <v>637</v>
      </c>
      <c r="N757">
        <v>45170</v>
      </c>
      <c r="O757" t="str">
        <v>September</v>
      </c>
      <c r="P757" t="str">
        <v>CUST637</v>
      </c>
      <c r="Q757" t="str">
        <v>Male</v>
      </c>
      <c r="R757">
        <v>43</v>
      </c>
      <c r="S757" t="str">
        <v>Clothing</v>
      </c>
      <c r="T757">
        <v>2</v>
      </c>
      <c r="U757">
        <v>300</v>
      </c>
      <c r="V757">
        <v>600</v>
      </c>
      <c r="W757">
        <v>600</v>
      </c>
      <c r="X757">
        <v>2023</v>
      </c>
    </row>
    <row r="758" spans="1:24" x14ac:dyDescent="0.35">
      <c r="A758">
        <v>757</v>
      </c>
      <c r="B758" s="1">
        <v>45285</v>
      </c>
      <c r="C758" s="2" t="s">
        <v>31</v>
      </c>
      <c r="D758" s="2" t="s">
        <v>785</v>
      </c>
      <c r="E758" s="2" t="s">
        <v>18</v>
      </c>
      <c r="F758">
        <v>43</v>
      </c>
      <c r="G758" s="2" t="s">
        <v>22</v>
      </c>
      <c r="H758">
        <v>4</v>
      </c>
      <c r="I758">
        <v>300</v>
      </c>
      <c r="J758">
        <v>1200</v>
      </c>
      <c r="K758">
        <v>1200</v>
      </c>
      <c r="L758">
        <v>2023</v>
      </c>
      <c r="M758">
        <v>638</v>
      </c>
      <c r="N758">
        <v>45157</v>
      </c>
      <c r="O758" t="str">
        <v>August</v>
      </c>
      <c r="P758" t="str">
        <v>CUST638</v>
      </c>
      <c r="Q758" t="str">
        <v>Male</v>
      </c>
      <c r="R758">
        <v>46</v>
      </c>
      <c r="S758" t="str">
        <v>Electronics</v>
      </c>
      <c r="T758">
        <v>1</v>
      </c>
      <c r="U758">
        <v>500</v>
      </c>
      <c r="V758">
        <v>500</v>
      </c>
      <c r="W758">
        <v>500</v>
      </c>
      <c r="X758">
        <v>2023</v>
      </c>
    </row>
    <row r="759" spans="1:24" x14ac:dyDescent="0.35">
      <c r="A759">
        <v>758</v>
      </c>
      <c r="B759" s="1">
        <v>45058</v>
      </c>
      <c r="C759" s="2" t="s">
        <v>23</v>
      </c>
      <c r="D759" s="2" t="s">
        <v>786</v>
      </c>
      <c r="E759" s="2" t="s">
        <v>14</v>
      </c>
      <c r="F759">
        <v>64</v>
      </c>
      <c r="G759" s="2" t="s">
        <v>19</v>
      </c>
      <c r="H759">
        <v>4</v>
      </c>
      <c r="I759">
        <v>25</v>
      </c>
      <c r="J759">
        <v>100</v>
      </c>
      <c r="K759">
        <v>100</v>
      </c>
      <c r="L759">
        <v>2023</v>
      </c>
      <c r="M759">
        <v>639</v>
      </c>
      <c r="N759">
        <v>45059</v>
      </c>
      <c r="O759" t="str">
        <v>May</v>
      </c>
      <c r="P759" t="str">
        <v>CUST639</v>
      </c>
      <c r="Q759" t="str">
        <v>Female</v>
      </c>
      <c r="R759">
        <v>62</v>
      </c>
      <c r="S759" t="str">
        <v>Beauty</v>
      </c>
      <c r="T759">
        <v>4</v>
      </c>
      <c r="U759">
        <v>50</v>
      </c>
      <c r="V759">
        <v>200</v>
      </c>
      <c r="W759">
        <v>200</v>
      </c>
      <c r="X759">
        <v>2023</v>
      </c>
    </row>
    <row r="760" spans="1:24" x14ac:dyDescent="0.35">
      <c r="A760">
        <v>759</v>
      </c>
      <c r="B760" s="1">
        <v>45115</v>
      </c>
      <c r="C760" s="2" t="s">
        <v>70</v>
      </c>
      <c r="D760" s="2" t="s">
        <v>787</v>
      </c>
      <c r="E760" s="2" t="s">
        <v>14</v>
      </c>
      <c r="F760">
        <v>49</v>
      </c>
      <c r="G760" s="2" t="s">
        <v>22</v>
      </c>
      <c r="H760">
        <v>2</v>
      </c>
      <c r="I760">
        <v>50</v>
      </c>
      <c r="J760">
        <v>100</v>
      </c>
      <c r="K760">
        <v>100</v>
      </c>
      <c r="L760">
        <v>2023</v>
      </c>
      <c r="M760">
        <v>640</v>
      </c>
      <c r="N760">
        <v>45053</v>
      </c>
      <c r="O760" t="str">
        <v>May</v>
      </c>
      <c r="P760" t="str">
        <v>CUST640</v>
      </c>
      <c r="Q760" t="str">
        <v>Female</v>
      </c>
      <c r="R760">
        <v>51</v>
      </c>
      <c r="S760" t="str">
        <v>Electronics</v>
      </c>
      <c r="T760">
        <v>4</v>
      </c>
      <c r="U760">
        <v>30</v>
      </c>
      <c r="V760">
        <v>120</v>
      </c>
      <c r="W760">
        <v>120</v>
      </c>
      <c r="X760">
        <v>2023</v>
      </c>
    </row>
    <row r="761" spans="1:24" x14ac:dyDescent="0.35">
      <c r="A761">
        <v>760</v>
      </c>
      <c r="B761" s="1">
        <v>45012</v>
      </c>
      <c r="C761" s="2" t="s">
        <v>28</v>
      </c>
      <c r="D761" s="2" t="s">
        <v>788</v>
      </c>
      <c r="E761" s="2" t="s">
        <v>14</v>
      </c>
      <c r="F761">
        <v>27</v>
      </c>
      <c r="G761" s="2" t="s">
        <v>15</v>
      </c>
      <c r="H761">
        <v>1</v>
      </c>
      <c r="I761">
        <v>500</v>
      </c>
      <c r="J761">
        <v>500</v>
      </c>
      <c r="K761">
        <v>500</v>
      </c>
      <c r="L761">
        <v>2023</v>
      </c>
      <c r="M761">
        <v>641</v>
      </c>
      <c r="N761">
        <v>45253</v>
      </c>
      <c r="O761" t="str">
        <v>November</v>
      </c>
      <c r="P761" t="str">
        <v>CUST641</v>
      </c>
      <c r="Q761" t="str">
        <v>Female</v>
      </c>
      <c r="R761">
        <v>40</v>
      </c>
      <c r="S761" t="str">
        <v>Electronics</v>
      </c>
      <c r="T761">
        <v>1</v>
      </c>
      <c r="U761">
        <v>300</v>
      </c>
      <c r="V761">
        <v>300</v>
      </c>
      <c r="W761">
        <v>300</v>
      </c>
      <c r="X761">
        <v>2023</v>
      </c>
    </row>
    <row r="762" spans="1:24" x14ac:dyDescent="0.35">
      <c r="A762">
        <v>761</v>
      </c>
      <c r="B762" s="1">
        <v>45237</v>
      </c>
      <c r="C762" s="2" t="s">
        <v>12</v>
      </c>
      <c r="D762" s="2" t="s">
        <v>789</v>
      </c>
      <c r="E762" s="2" t="s">
        <v>18</v>
      </c>
      <c r="F762">
        <v>33</v>
      </c>
      <c r="G762" s="2" t="s">
        <v>19</v>
      </c>
      <c r="H762">
        <v>1</v>
      </c>
      <c r="I762">
        <v>500</v>
      </c>
      <c r="J762">
        <v>500</v>
      </c>
      <c r="K762">
        <v>500</v>
      </c>
      <c r="L762">
        <v>2023</v>
      </c>
      <c r="M762">
        <v>642</v>
      </c>
      <c r="N762">
        <v>45068</v>
      </c>
      <c r="O762" t="str">
        <v>May</v>
      </c>
      <c r="P762" t="str">
        <v>CUST642</v>
      </c>
      <c r="Q762" t="str">
        <v>Female</v>
      </c>
      <c r="R762">
        <v>54</v>
      </c>
      <c r="S762" t="str">
        <v>Clothing</v>
      </c>
      <c r="T762">
        <v>4</v>
      </c>
      <c r="U762">
        <v>25</v>
      </c>
      <c r="V762">
        <v>100</v>
      </c>
      <c r="W762">
        <v>100</v>
      </c>
      <c r="X762">
        <v>2023</v>
      </c>
    </row>
    <row r="763" spans="1:24" x14ac:dyDescent="0.35">
      <c r="A763">
        <v>762</v>
      </c>
      <c r="B763" s="1">
        <v>45237</v>
      </c>
      <c r="C763" s="2" t="s">
        <v>12</v>
      </c>
      <c r="D763" s="2" t="s">
        <v>790</v>
      </c>
      <c r="E763" s="2" t="s">
        <v>18</v>
      </c>
      <c r="F763">
        <v>24</v>
      </c>
      <c r="G763" s="2" t="s">
        <v>22</v>
      </c>
      <c r="H763">
        <v>2</v>
      </c>
      <c r="I763">
        <v>25</v>
      </c>
      <c r="J763">
        <v>50</v>
      </c>
      <c r="K763">
        <v>50</v>
      </c>
      <c r="L763">
        <v>2023</v>
      </c>
      <c r="M763">
        <v>643</v>
      </c>
      <c r="N763">
        <v>45193</v>
      </c>
      <c r="O763" t="str">
        <v>September</v>
      </c>
      <c r="P763" t="str">
        <v>CUST643</v>
      </c>
      <c r="Q763" t="str">
        <v>Female</v>
      </c>
      <c r="R763">
        <v>28</v>
      </c>
      <c r="S763" t="str">
        <v>Electronics</v>
      </c>
      <c r="T763">
        <v>3</v>
      </c>
      <c r="U763">
        <v>30</v>
      </c>
      <c r="V763">
        <v>90</v>
      </c>
      <c r="W763">
        <v>90</v>
      </c>
      <c r="X763">
        <v>2023</v>
      </c>
    </row>
    <row r="764" spans="1:24" x14ac:dyDescent="0.35">
      <c r="A764">
        <v>763</v>
      </c>
      <c r="B764" s="1">
        <v>44985</v>
      </c>
      <c r="C764" s="2" t="s">
        <v>16</v>
      </c>
      <c r="D764" s="2" t="s">
        <v>791</v>
      </c>
      <c r="E764" s="2" t="s">
        <v>14</v>
      </c>
      <c r="F764">
        <v>34</v>
      </c>
      <c r="G764" s="2" t="s">
        <v>19</v>
      </c>
      <c r="H764">
        <v>2</v>
      </c>
      <c r="I764">
        <v>25</v>
      </c>
      <c r="J764">
        <v>50</v>
      </c>
      <c r="K764">
        <v>50</v>
      </c>
      <c r="L764">
        <v>2023</v>
      </c>
      <c r="M764">
        <v>644</v>
      </c>
      <c r="N764">
        <v>45175</v>
      </c>
      <c r="O764" t="str">
        <v>September</v>
      </c>
      <c r="P764" t="str">
        <v>CUST644</v>
      </c>
      <c r="Q764" t="str">
        <v>Male</v>
      </c>
      <c r="R764">
        <v>23</v>
      </c>
      <c r="S764" t="str">
        <v>Beauty</v>
      </c>
      <c r="T764">
        <v>3</v>
      </c>
      <c r="U764">
        <v>25</v>
      </c>
      <c r="V764">
        <v>75</v>
      </c>
      <c r="W764">
        <v>75</v>
      </c>
      <c r="X764">
        <v>2023</v>
      </c>
    </row>
    <row r="765" spans="1:24" x14ac:dyDescent="0.35">
      <c r="A765">
        <v>764</v>
      </c>
      <c r="B765" s="1">
        <v>45010</v>
      </c>
      <c r="C765" s="2" t="s">
        <v>28</v>
      </c>
      <c r="D765" s="2" t="s">
        <v>792</v>
      </c>
      <c r="E765" s="2" t="s">
        <v>18</v>
      </c>
      <c r="F765">
        <v>40</v>
      </c>
      <c r="G765" s="2" t="s">
        <v>19</v>
      </c>
      <c r="H765">
        <v>1</v>
      </c>
      <c r="I765">
        <v>25</v>
      </c>
      <c r="J765">
        <v>25</v>
      </c>
      <c r="K765">
        <v>25</v>
      </c>
      <c r="L765">
        <v>2023</v>
      </c>
      <c r="M765">
        <v>645</v>
      </c>
      <c r="N765">
        <v>45247</v>
      </c>
      <c r="O765" t="str">
        <v>November</v>
      </c>
      <c r="P765" t="str">
        <v>CUST645</v>
      </c>
      <c r="Q765" t="str">
        <v>Female</v>
      </c>
      <c r="R765">
        <v>35</v>
      </c>
      <c r="S765" t="str">
        <v>Electronics</v>
      </c>
      <c r="T765">
        <v>4</v>
      </c>
      <c r="U765">
        <v>30</v>
      </c>
      <c r="V765">
        <v>120</v>
      </c>
      <c r="W765">
        <v>120</v>
      </c>
      <c r="X765">
        <v>2023</v>
      </c>
    </row>
    <row r="766" spans="1:24" x14ac:dyDescent="0.35">
      <c r="A766">
        <v>765</v>
      </c>
      <c r="B766" s="1">
        <v>45086</v>
      </c>
      <c r="C766" s="2" t="s">
        <v>62</v>
      </c>
      <c r="D766" s="2" t="s">
        <v>793</v>
      </c>
      <c r="E766" s="2" t="s">
        <v>14</v>
      </c>
      <c r="F766">
        <v>43</v>
      </c>
      <c r="G766" s="2" t="s">
        <v>19</v>
      </c>
      <c r="H766">
        <v>4</v>
      </c>
      <c r="I766">
        <v>50</v>
      </c>
      <c r="J766">
        <v>200</v>
      </c>
      <c r="K766">
        <v>200</v>
      </c>
      <c r="L766">
        <v>2023</v>
      </c>
      <c r="M766">
        <v>646</v>
      </c>
      <c r="N766">
        <v>45049</v>
      </c>
      <c r="O766" t="str">
        <v>May</v>
      </c>
      <c r="P766" t="str">
        <v>CUST646</v>
      </c>
      <c r="Q766" t="str">
        <v>Male</v>
      </c>
      <c r="R766">
        <v>38</v>
      </c>
      <c r="S766" t="str">
        <v>Clothing</v>
      </c>
      <c r="T766">
        <v>3</v>
      </c>
      <c r="U766">
        <v>30</v>
      </c>
      <c r="V766">
        <v>90</v>
      </c>
      <c r="W766">
        <v>90</v>
      </c>
      <c r="X766">
        <v>2023</v>
      </c>
    </row>
    <row r="767" spans="1:24" x14ac:dyDescent="0.35">
      <c r="A767">
        <v>766</v>
      </c>
      <c r="B767" s="1">
        <v>44982</v>
      </c>
      <c r="C767" s="2" t="s">
        <v>16</v>
      </c>
      <c r="D767" s="2" t="s">
        <v>794</v>
      </c>
      <c r="E767" s="2" t="s">
        <v>14</v>
      </c>
      <c r="F767">
        <v>38</v>
      </c>
      <c r="G767" s="2" t="s">
        <v>22</v>
      </c>
      <c r="H767">
        <v>3</v>
      </c>
      <c r="I767">
        <v>300</v>
      </c>
      <c r="J767">
        <v>900</v>
      </c>
      <c r="K767">
        <v>900</v>
      </c>
      <c r="L767">
        <v>2023</v>
      </c>
      <c r="M767">
        <v>647</v>
      </c>
      <c r="N767">
        <v>45067</v>
      </c>
      <c r="O767" t="str">
        <v>May</v>
      </c>
      <c r="P767" t="str">
        <v>CUST647</v>
      </c>
      <c r="Q767" t="str">
        <v>Male</v>
      </c>
      <c r="R767">
        <v>59</v>
      </c>
      <c r="S767" t="str">
        <v>Clothing</v>
      </c>
      <c r="T767">
        <v>3</v>
      </c>
      <c r="U767">
        <v>500</v>
      </c>
      <c r="V767">
        <v>1500</v>
      </c>
      <c r="W767">
        <v>1500</v>
      </c>
      <c r="X767">
        <v>2023</v>
      </c>
    </row>
    <row r="768" spans="1:24" x14ac:dyDescent="0.35">
      <c r="A768">
        <v>767</v>
      </c>
      <c r="B768" s="1">
        <v>45223</v>
      </c>
      <c r="C768" s="2" t="s">
        <v>33</v>
      </c>
      <c r="D768" s="2" t="s">
        <v>795</v>
      </c>
      <c r="E768" s="2" t="s">
        <v>14</v>
      </c>
      <c r="F768">
        <v>39</v>
      </c>
      <c r="G768" s="2" t="s">
        <v>15</v>
      </c>
      <c r="H768">
        <v>3</v>
      </c>
      <c r="I768">
        <v>25</v>
      </c>
      <c r="J768">
        <v>75</v>
      </c>
      <c r="K768">
        <v>75</v>
      </c>
      <c r="L768">
        <v>2023</v>
      </c>
      <c r="M768">
        <v>648</v>
      </c>
      <c r="N768">
        <v>45152</v>
      </c>
      <c r="O768" t="str">
        <v>August</v>
      </c>
      <c r="P768" t="str">
        <v>CUST648</v>
      </c>
      <c r="Q768" t="str">
        <v>Male</v>
      </c>
      <c r="R768">
        <v>53</v>
      </c>
      <c r="S768" t="str">
        <v>Beauty</v>
      </c>
      <c r="T768">
        <v>4</v>
      </c>
      <c r="U768">
        <v>300</v>
      </c>
      <c r="V768">
        <v>1200</v>
      </c>
      <c r="W768">
        <v>1200</v>
      </c>
      <c r="X768">
        <v>2023</v>
      </c>
    </row>
    <row r="769" spans="1:24" x14ac:dyDescent="0.35">
      <c r="A769">
        <v>768</v>
      </c>
      <c r="B769" s="1">
        <v>44940</v>
      </c>
      <c r="C769" s="2" t="s">
        <v>20</v>
      </c>
      <c r="D769" s="2" t="s">
        <v>796</v>
      </c>
      <c r="E769" s="2" t="s">
        <v>18</v>
      </c>
      <c r="F769">
        <v>24</v>
      </c>
      <c r="G769" s="2" t="s">
        <v>15</v>
      </c>
      <c r="H769">
        <v>3</v>
      </c>
      <c r="I769">
        <v>25</v>
      </c>
      <c r="J769">
        <v>75</v>
      </c>
      <c r="K769">
        <v>75</v>
      </c>
      <c r="L769">
        <v>2023</v>
      </c>
      <c r="M769">
        <v>649</v>
      </c>
      <c r="N769">
        <v>44966</v>
      </c>
      <c r="O769" t="str">
        <v>February</v>
      </c>
      <c r="P769" t="str">
        <v>CUST649</v>
      </c>
      <c r="Q769" t="str">
        <v>Female</v>
      </c>
      <c r="R769">
        <v>58</v>
      </c>
      <c r="S769" t="str">
        <v>Clothing</v>
      </c>
      <c r="T769">
        <v>2</v>
      </c>
      <c r="U769">
        <v>300</v>
      </c>
      <c r="V769">
        <v>600</v>
      </c>
      <c r="W769">
        <v>600</v>
      </c>
      <c r="X769">
        <v>2023</v>
      </c>
    </row>
    <row r="770" spans="1:24" x14ac:dyDescent="0.35">
      <c r="A770">
        <v>769</v>
      </c>
      <c r="B770" s="1">
        <v>45086</v>
      </c>
      <c r="C770" s="2" t="s">
        <v>62</v>
      </c>
      <c r="D770" s="2" t="s">
        <v>797</v>
      </c>
      <c r="E770" s="2" t="s">
        <v>18</v>
      </c>
      <c r="F770">
        <v>31</v>
      </c>
      <c r="G770" s="2" t="s">
        <v>22</v>
      </c>
      <c r="H770">
        <v>4</v>
      </c>
      <c r="I770">
        <v>30</v>
      </c>
      <c r="J770">
        <v>120</v>
      </c>
      <c r="K770">
        <v>120</v>
      </c>
      <c r="L770">
        <v>2023</v>
      </c>
      <c r="M770">
        <v>650</v>
      </c>
      <c r="N770">
        <v>45292</v>
      </c>
      <c r="O770" t="str">
        <v>January</v>
      </c>
      <c r="P770" t="str">
        <v>CUST650</v>
      </c>
      <c r="Q770" t="str">
        <v>Male</v>
      </c>
      <c r="R770">
        <v>55</v>
      </c>
      <c r="S770" t="str">
        <v>Electronics</v>
      </c>
      <c r="T770">
        <v>1</v>
      </c>
      <c r="U770">
        <v>30</v>
      </c>
      <c r="V770">
        <v>30</v>
      </c>
      <c r="W770">
        <v>30</v>
      </c>
      <c r="X770">
        <v>2024</v>
      </c>
    </row>
    <row r="771" spans="1:24" x14ac:dyDescent="0.35">
      <c r="A771">
        <v>770</v>
      </c>
      <c r="B771" s="1">
        <v>45221</v>
      </c>
      <c r="C771" s="2" t="s">
        <v>33</v>
      </c>
      <c r="D771" s="2" t="s">
        <v>798</v>
      </c>
      <c r="E771" s="2" t="s">
        <v>14</v>
      </c>
      <c r="F771">
        <v>32</v>
      </c>
      <c r="G771" s="2" t="s">
        <v>19</v>
      </c>
      <c r="H771">
        <v>1</v>
      </c>
      <c r="I771">
        <v>50</v>
      </c>
      <c r="J771">
        <v>50</v>
      </c>
      <c r="K771">
        <v>50</v>
      </c>
      <c r="L771">
        <v>2023</v>
      </c>
      <c r="M771">
        <v>651</v>
      </c>
      <c r="N771">
        <v>45073</v>
      </c>
      <c r="O771" t="str">
        <v>May</v>
      </c>
      <c r="P771" t="str">
        <v>CUST651</v>
      </c>
      <c r="Q771" t="str">
        <v>Male</v>
      </c>
      <c r="R771">
        <v>51</v>
      </c>
      <c r="S771" t="str">
        <v>Clothing</v>
      </c>
      <c r="T771">
        <v>3</v>
      </c>
      <c r="U771">
        <v>50</v>
      </c>
      <c r="V771">
        <v>150</v>
      </c>
      <c r="W771">
        <v>150</v>
      </c>
      <c r="X771">
        <v>2023</v>
      </c>
    </row>
    <row r="772" spans="1:24" x14ac:dyDescent="0.35">
      <c r="A772">
        <v>771</v>
      </c>
      <c r="B772" s="1">
        <v>45273</v>
      </c>
      <c r="C772" s="2" t="s">
        <v>31</v>
      </c>
      <c r="D772" s="2" t="s">
        <v>799</v>
      </c>
      <c r="E772" s="2" t="s">
        <v>14</v>
      </c>
      <c r="F772">
        <v>24</v>
      </c>
      <c r="G772" s="2" t="s">
        <v>22</v>
      </c>
      <c r="H772">
        <v>2</v>
      </c>
      <c r="I772">
        <v>25</v>
      </c>
      <c r="J772">
        <v>50</v>
      </c>
      <c r="K772">
        <v>50</v>
      </c>
      <c r="L772">
        <v>2023</v>
      </c>
      <c r="M772">
        <v>652</v>
      </c>
      <c r="N772">
        <v>45047</v>
      </c>
      <c r="O772" t="str">
        <v>May</v>
      </c>
      <c r="P772" t="str">
        <v>CUST652</v>
      </c>
      <c r="Q772" t="str">
        <v>Female</v>
      </c>
      <c r="R772">
        <v>34</v>
      </c>
      <c r="S772" t="str">
        <v>Beauty</v>
      </c>
      <c r="T772">
        <v>2</v>
      </c>
      <c r="U772">
        <v>50</v>
      </c>
      <c r="V772">
        <v>100</v>
      </c>
      <c r="W772">
        <v>100</v>
      </c>
      <c r="X772">
        <v>2023</v>
      </c>
    </row>
    <row r="773" spans="1:24" x14ac:dyDescent="0.35">
      <c r="A773">
        <v>772</v>
      </c>
      <c r="B773" s="1">
        <v>45119</v>
      </c>
      <c r="C773" s="2" t="s">
        <v>70</v>
      </c>
      <c r="D773" s="2" t="s">
        <v>800</v>
      </c>
      <c r="E773" s="2" t="s">
        <v>14</v>
      </c>
      <c r="F773">
        <v>26</v>
      </c>
      <c r="G773" s="2" t="s">
        <v>22</v>
      </c>
      <c r="H773">
        <v>1</v>
      </c>
      <c r="I773">
        <v>30</v>
      </c>
      <c r="J773">
        <v>30</v>
      </c>
      <c r="K773">
        <v>30</v>
      </c>
      <c r="L773">
        <v>2023</v>
      </c>
      <c r="M773">
        <v>653</v>
      </c>
      <c r="N773">
        <v>45066</v>
      </c>
      <c r="O773" t="str">
        <v>May</v>
      </c>
      <c r="P773" t="str">
        <v>CUST653</v>
      </c>
      <c r="Q773" t="str">
        <v>Male</v>
      </c>
      <c r="R773">
        <v>54</v>
      </c>
      <c r="S773" t="str">
        <v>Clothing</v>
      </c>
      <c r="T773">
        <v>3</v>
      </c>
      <c r="U773">
        <v>25</v>
      </c>
      <c r="V773">
        <v>75</v>
      </c>
      <c r="W773">
        <v>75</v>
      </c>
      <c r="X773">
        <v>2023</v>
      </c>
    </row>
    <row r="774" spans="1:24" x14ac:dyDescent="0.35">
      <c r="A774">
        <v>773</v>
      </c>
      <c r="B774" s="1">
        <v>45130</v>
      </c>
      <c r="C774" s="2" t="s">
        <v>70</v>
      </c>
      <c r="D774" s="2" t="s">
        <v>801</v>
      </c>
      <c r="E774" s="2" t="s">
        <v>14</v>
      </c>
      <c r="F774">
        <v>25</v>
      </c>
      <c r="G774" s="2" t="s">
        <v>22</v>
      </c>
      <c r="H774">
        <v>4</v>
      </c>
      <c r="I774">
        <v>500</v>
      </c>
      <c r="J774">
        <v>2000</v>
      </c>
      <c r="K774">
        <v>2000</v>
      </c>
      <c r="L774">
        <v>2023</v>
      </c>
      <c r="M774">
        <v>654</v>
      </c>
      <c r="N774">
        <v>45098</v>
      </c>
      <c r="O774" t="str">
        <v>June</v>
      </c>
      <c r="P774" t="str">
        <v>CUST654</v>
      </c>
      <c r="Q774" t="str">
        <v>Male</v>
      </c>
      <c r="R774">
        <v>42</v>
      </c>
      <c r="S774" t="str">
        <v>Clothing</v>
      </c>
      <c r="T774">
        <v>3</v>
      </c>
      <c r="U774">
        <v>25</v>
      </c>
      <c r="V774">
        <v>75</v>
      </c>
      <c r="W774">
        <v>75</v>
      </c>
      <c r="X774">
        <v>2023</v>
      </c>
    </row>
    <row r="775" spans="1:24" x14ac:dyDescent="0.35">
      <c r="A775">
        <v>774</v>
      </c>
      <c r="B775" s="1">
        <v>45028</v>
      </c>
      <c r="C775" s="2" t="s">
        <v>26</v>
      </c>
      <c r="D775" s="2" t="s">
        <v>802</v>
      </c>
      <c r="E775" s="2" t="s">
        <v>18</v>
      </c>
      <c r="F775">
        <v>40</v>
      </c>
      <c r="G775" s="2" t="s">
        <v>19</v>
      </c>
      <c r="H775">
        <v>2</v>
      </c>
      <c r="I775">
        <v>25</v>
      </c>
      <c r="J775">
        <v>50</v>
      </c>
      <c r="K775">
        <v>50</v>
      </c>
      <c r="L775">
        <v>2023</v>
      </c>
      <c r="M775">
        <v>655</v>
      </c>
      <c r="N775">
        <v>45090</v>
      </c>
      <c r="O775" t="str">
        <v>June</v>
      </c>
      <c r="P775" t="str">
        <v>CUST655</v>
      </c>
      <c r="Q775" t="str">
        <v>Female</v>
      </c>
      <c r="R775">
        <v>55</v>
      </c>
      <c r="S775" t="str">
        <v>Clothing</v>
      </c>
      <c r="T775">
        <v>1</v>
      </c>
      <c r="U775">
        <v>500</v>
      </c>
      <c r="V775">
        <v>500</v>
      </c>
      <c r="W775">
        <v>500</v>
      </c>
      <c r="X775">
        <v>2023</v>
      </c>
    </row>
    <row r="776" spans="1:24" x14ac:dyDescent="0.35">
      <c r="A776">
        <v>775</v>
      </c>
      <c r="B776" s="1">
        <v>44965</v>
      </c>
      <c r="C776" s="2" t="s">
        <v>16</v>
      </c>
      <c r="D776" s="2" t="s">
        <v>803</v>
      </c>
      <c r="E776" s="2" t="s">
        <v>18</v>
      </c>
      <c r="F776">
        <v>46</v>
      </c>
      <c r="G776" s="2" t="s">
        <v>22</v>
      </c>
      <c r="H776">
        <v>4</v>
      </c>
      <c r="I776">
        <v>25</v>
      </c>
      <c r="J776">
        <v>100</v>
      </c>
      <c r="K776">
        <v>100</v>
      </c>
      <c r="L776">
        <v>2023</v>
      </c>
      <c r="M776">
        <v>656</v>
      </c>
      <c r="N776">
        <v>45203</v>
      </c>
      <c r="O776" t="str">
        <v>October</v>
      </c>
      <c r="P776" t="str">
        <v>CUST656</v>
      </c>
      <c r="Q776" t="str">
        <v>Male</v>
      </c>
      <c r="R776">
        <v>29</v>
      </c>
      <c r="S776" t="str">
        <v>Beauty</v>
      </c>
      <c r="T776">
        <v>3</v>
      </c>
      <c r="U776">
        <v>30</v>
      </c>
      <c r="V776">
        <v>90</v>
      </c>
      <c r="W776">
        <v>90</v>
      </c>
      <c r="X776">
        <v>2023</v>
      </c>
    </row>
    <row r="777" spans="1:24" x14ac:dyDescent="0.35">
      <c r="A777">
        <v>776</v>
      </c>
      <c r="B777" s="1">
        <v>45230</v>
      </c>
      <c r="C777" s="2" t="s">
        <v>33</v>
      </c>
      <c r="D777" s="2" t="s">
        <v>804</v>
      </c>
      <c r="E777" s="2" t="s">
        <v>14</v>
      </c>
      <c r="F777">
        <v>35</v>
      </c>
      <c r="G777" s="2" t="s">
        <v>19</v>
      </c>
      <c r="H777">
        <v>3</v>
      </c>
      <c r="I777">
        <v>30</v>
      </c>
      <c r="J777">
        <v>90</v>
      </c>
      <c r="K777">
        <v>90</v>
      </c>
      <c r="L777">
        <v>2023</v>
      </c>
      <c r="M777">
        <v>657</v>
      </c>
      <c r="N777">
        <v>44968</v>
      </c>
      <c r="O777" t="str">
        <v>February</v>
      </c>
      <c r="P777" t="str">
        <v>CUST657</v>
      </c>
      <c r="Q777" t="str">
        <v>Male</v>
      </c>
      <c r="R777">
        <v>40</v>
      </c>
      <c r="S777" t="str">
        <v>Clothing</v>
      </c>
      <c r="T777">
        <v>1</v>
      </c>
      <c r="U777">
        <v>25</v>
      </c>
      <c r="V777">
        <v>25</v>
      </c>
      <c r="W777">
        <v>25</v>
      </c>
      <c r="X777">
        <v>2023</v>
      </c>
    </row>
    <row r="778" spans="1:24" x14ac:dyDescent="0.35">
      <c r="A778">
        <v>777</v>
      </c>
      <c r="B778" s="1">
        <v>45280</v>
      </c>
      <c r="C778" s="2" t="s">
        <v>31</v>
      </c>
      <c r="D778" s="2" t="s">
        <v>805</v>
      </c>
      <c r="E778" s="2" t="s">
        <v>14</v>
      </c>
      <c r="F778">
        <v>48</v>
      </c>
      <c r="G778" s="2" t="s">
        <v>22</v>
      </c>
      <c r="H778">
        <v>3</v>
      </c>
      <c r="I778">
        <v>50</v>
      </c>
      <c r="J778">
        <v>150</v>
      </c>
      <c r="K778">
        <v>150</v>
      </c>
      <c r="L778">
        <v>2023</v>
      </c>
      <c r="M778">
        <v>658</v>
      </c>
      <c r="N778">
        <v>44997</v>
      </c>
      <c r="O778" t="str">
        <v>March</v>
      </c>
      <c r="P778" t="str">
        <v>CUST658</v>
      </c>
      <c r="Q778" t="str">
        <v>Male</v>
      </c>
      <c r="R778">
        <v>59</v>
      </c>
      <c r="S778" t="str">
        <v>Clothing</v>
      </c>
      <c r="T778">
        <v>1</v>
      </c>
      <c r="U778">
        <v>25</v>
      </c>
      <c r="V778">
        <v>25</v>
      </c>
      <c r="W778">
        <v>25</v>
      </c>
      <c r="X778">
        <v>2023</v>
      </c>
    </row>
    <row r="779" spans="1:24" x14ac:dyDescent="0.35">
      <c r="A779">
        <v>778</v>
      </c>
      <c r="B779" s="1">
        <v>45248</v>
      </c>
      <c r="C779" s="2" t="s">
        <v>12</v>
      </c>
      <c r="D779" s="2" t="s">
        <v>806</v>
      </c>
      <c r="E779" s="2" t="s">
        <v>18</v>
      </c>
      <c r="F779">
        <v>47</v>
      </c>
      <c r="G779" s="2" t="s">
        <v>15</v>
      </c>
      <c r="H779">
        <v>4</v>
      </c>
      <c r="I779">
        <v>25</v>
      </c>
      <c r="J779">
        <v>100</v>
      </c>
      <c r="K779">
        <v>100</v>
      </c>
      <c r="L779">
        <v>2023</v>
      </c>
      <c r="M779">
        <v>659</v>
      </c>
      <c r="N779">
        <v>45004</v>
      </c>
      <c r="O779" t="str">
        <v>March</v>
      </c>
      <c r="P779" t="str">
        <v>CUST659</v>
      </c>
      <c r="Q779" t="str">
        <v>Female</v>
      </c>
      <c r="R779">
        <v>39</v>
      </c>
      <c r="S779" t="str">
        <v>Electronics</v>
      </c>
      <c r="T779">
        <v>1</v>
      </c>
      <c r="U779">
        <v>30</v>
      </c>
      <c r="V779">
        <v>30</v>
      </c>
      <c r="W779">
        <v>30</v>
      </c>
      <c r="X779">
        <v>2023</v>
      </c>
    </row>
    <row r="780" spans="1:24" x14ac:dyDescent="0.35">
      <c r="A780">
        <v>779</v>
      </c>
      <c r="B780" s="1">
        <v>45051</v>
      </c>
      <c r="C780" s="2" t="s">
        <v>23</v>
      </c>
      <c r="D780" s="2" t="s">
        <v>807</v>
      </c>
      <c r="E780" s="2" t="s">
        <v>18</v>
      </c>
      <c r="F780">
        <v>56</v>
      </c>
      <c r="G780" s="2" t="s">
        <v>22</v>
      </c>
      <c r="H780">
        <v>2</v>
      </c>
      <c r="I780">
        <v>500</v>
      </c>
      <c r="J780">
        <v>1000</v>
      </c>
      <c r="K780">
        <v>1000</v>
      </c>
      <c r="L780">
        <v>2023</v>
      </c>
      <c r="M780">
        <v>660</v>
      </c>
      <c r="N780">
        <v>45045</v>
      </c>
      <c r="O780" t="str">
        <v>April</v>
      </c>
      <c r="P780" t="str">
        <v>CUST660</v>
      </c>
      <c r="Q780" t="str">
        <v>Female</v>
      </c>
      <c r="R780">
        <v>38</v>
      </c>
      <c r="S780" t="str">
        <v>Beauty</v>
      </c>
      <c r="T780">
        <v>2</v>
      </c>
      <c r="U780">
        <v>500</v>
      </c>
      <c r="V780">
        <v>1000</v>
      </c>
      <c r="W780">
        <v>1000</v>
      </c>
      <c r="X780">
        <v>2023</v>
      </c>
    </row>
    <row r="781" spans="1:24" x14ac:dyDescent="0.35">
      <c r="A781">
        <v>780</v>
      </c>
      <c r="B781" s="1">
        <v>44979</v>
      </c>
      <c r="C781" s="2" t="s">
        <v>16</v>
      </c>
      <c r="D781" s="2" t="s">
        <v>808</v>
      </c>
      <c r="E781" s="2" t="s">
        <v>14</v>
      </c>
      <c r="F781">
        <v>52</v>
      </c>
      <c r="G781" s="2" t="s">
        <v>22</v>
      </c>
      <c r="H781">
        <v>2</v>
      </c>
      <c r="I781">
        <v>25</v>
      </c>
      <c r="J781">
        <v>50</v>
      </c>
      <c r="K781">
        <v>50</v>
      </c>
      <c r="L781">
        <v>2023</v>
      </c>
      <c r="M781">
        <v>661</v>
      </c>
      <c r="N781">
        <v>45123</v>
      </c>
      <c r="O781" t="str">
        <v>July</v>
      </c>
      <c r="P781" t="str">
        <v>CUST661</v>
      </c>
      <c r="Q781" t="str">
        <v>Female</v>
      </c>
      <c r="R781">
        <v>44</v>
      </c>
      <c r="S781" t="str">
        <v>Clothing</v>
      </c>
      <c r="T781">
        <v>4</v>
      </c>
      <c r="U781">
        <v>25</v>
      </c>
      <c r="V781">
        <v>100</v>
      </c>
      <c r="W781">
        <v>100</v>
      </c>
      <c r="X781">
        <v>2023</v>
      </c>
    </row>
    <row r="782" spans="1:24" x14ac:dyDescent="0.35">
      <c r="A782">
        <v>781</v>
      </c>
      <c r="B782" s="1">
        <v>45283</v>
      </c>
      <c r="C782" s="2" t="s">
        <v>31</v>
      </c>
      <c r="D782" s="2" t="s">
        <v>809</v>
      </c>
      <c r="E782" s="2" t="s">
        <v>14</v>
      </c>
      <c r="F782">
        <v>35</v>
      </c>
      <c r="G782" s="2" t="s">
        <v>15</v>
      </c>
      <c r="H782">
        <v>1</v>
      </c>
      <c r="I782">
        <v>500</v>
      </c>
      <c r="J782">
        <v>500</v>
      </c>
      <c r="K782">
        <v>500</v>
      </c>
      <c r="L782">
        <v>2023</v>
      </c>
      <c r="M782">
        <v>662</v>
      </c>
      <c r="N782">
        <v>45282</v>
      </c>
      <c r="O782" t="str">
        <v>December</v>
      </c>
      <c r="P782" t="str">
        <v>CUST662</v>
      </c>
      <c r="Q782" t="str">
        <v>Male</v>
      </c>
      <c r="R782">
        <v>48</v>
      </c>
      <c r="S782" t="str">
        <v>Beauty</v>
      </c>
      <c r="T782">
        <v>2</v>
      </c>
      <c r="U782">
        <v>500</v>
      </c>
      <c r="V782">
        <v>1000</v>
      </c>
      <c r="W782">
        <v>1000</v>
      </c>
      <c r="X782">
        <v>2023</v>
      </c>
    </row>
    <row r="783" spans="1:24" x14ac:dyDescent="0.35">
      <c r="A783">
        <v>782</v>
      </c>
      <c r="B783" s="1">
        <v>45081</v>
      </c>
      <c r="C783" s="2" t="s">
        <v>62</v>
      </c>
      <c r="D783" s="2" t="s">
        <v>810</v>
      </c>
      <c r="E783" s="2" t="s">
        <v>14</v>
      </c>
      <c r="F783">
        <v>59</v>
      </c>
      <c r="G783" s="2" t="s">
        <v>19</v>
      </c>
      <c r="H783">
        <v>3</v>
      </c>
      <c r="I783">
        <v>300</v>
      </c>
      <c r="J783">
        <v>900</v>
      </c>
      <c r="K783">
        <v>900</v>
      </c>
      <c r="L783">
        <v>2023</v>
      </c>
      <c r="M783">
        <v>663</v>
      </c>
      <c r="N783">
        <v>45005</v>
      </c>
      <c r="O783" t="str">
        <v>March</v>
      </c>
      <c r="P783" t="str">
        <v>CUST663</v>
      </c>
      <c r="Q783" t="str">
        <v>Male</v>
      </c>
      <c r="R783">
        <v>23</v>
      </c>
      <c r="S783" t="str">
        <v>Clothing</v>
      </c>
      <c r="T783">
        <v>4</v>
      </c>
      <c r="U783">
        <v>300</v>
      </c>
      <c r="V783">
        <v>1200</v>
      </c>
      <c r="W783">
        <v>1200</v>
      </c>
      <c r="X783">
        <v>2023</v>
      </c>
    </row>
    <row r="784" spans="1:24" x14ac:dyDescent="0.35">
      <c r="A784">
        <v>783</v>
      </c>
      <c r="B784" s="1">
        <v>45277</v>
      </c>
      <c r="C784" s="2" t="s">
        <v>31</v>
      </c>
      <c r="D784" s="2" t="s">
        <v>811</v>
      </c>
      <c r="E784" s="2" t="s">
        <v>18</v>
      </c>
      <c r="F784">
        <v>56</v>
      </c>
      <c r="G784" s="2" t="s">
        <v>19</v>
      </c>
      <c r="H784">
        <v>1</v>
      </c>
      <c r="I784">
        <v>300</v>
      </c>
      <c r="J784">
        <v>300</v>
      </c>
      <c r="K784">
        <v>300</v>
      </c>
      <c r="L784">
        <v>2023</v>
      </c>
      <c r="M784">
        <v>664</v>
      </c>
      <c r="N784">
        <v>45288</v>
      </c>
      <c r="O784" t="str">
        <v>December</v>
      </c>
      <c r="P784" t="str">
        <v>CUST664</v>
      </c>
      <c r="Q784" t="str">
        <v>Female</v>
      </c>
      <c r="R784">
        <v>44</v>
      </c>
      <c r="S784" t="str">
        <v>Clothing</v>
      </c>
      <c r="T784">
        <v>4</v>
      </c>
      <c r="U784">
        <v>500</v>
      </c>
      <c r="V784">
        <v>2000</v>
      </c>
      <c r="W784">
        <v>2000</v>
      </c>
      <c r="X784">
        <v>2023</v>
      </c>
    </row>
    <row r="785" spans="1:24" x14ac:dyDescent="0.35">
      <c r="A785">
        <v>784</v>
      </c>
      <c r="B785" s="1">
        <v>45234</v>
      </c>
      <c r="C785" s="2" t="s">
        <v>12</v>
      </c>
      <c r="D785" s="2" t="s">
        <v>812</v>
      </c>
      <c r="E785" s="2" t="s">
        <v>18</v>
      </c>
      <c r="F785">
        <v>34</v>
      </c>
      <c r="G785" s="2" t="s">
        <v>22</v>
      </c>
      <c r="H785">
        <v>1</v>
      </c>
      <c r="I785">
        <v>500</v>
      </c>
      <c r="J785">
        <v>500</v>
      </c>
      <c r="K785">
        <v>500</v>
      </c>
      <c r="L785">
        <v>2023</v>
      </c>
      <c r="M785">
        <v>665</v>
      </c>
      <c r="N785">
        <v>45036</v>
      </c>
      <c r="O785" t="str">
        <v>April</v>
      </c>
      <c r="P785" t="str">
        <v>CUST665</v>
      </c>
      <c r="Q785" t="str">
        <v>Male</v>
      </c>
      <c r="R785">
        <v>57</v>
      </c>
      <c r="S785" t="str">
        <v>Clothing</v>
      </c>
      <c r="T785">
        <v>1</v>
      </c>
      <c r="U785">
        <v>50</v>
      </c>
      <c r="V785">
        <v>50</v>
      </c>
      <c r="W785">
        <v>50</v>
      </c>
      <c r="X785">
        <v>2023</v>
      </c>
    </row>
    <row r="786" spans="1:24" x14ac:dyDescent="0.35">
      <c r="A786">
        <v>785</v>
      </c>
      <c r="B786" s="1">
        <v>44988</v>
      </c>
      <c r="C786" s="2" t="s">
        <v>28</v>
      </c>
      <c r="D786" s="2" t="s">
        <v>813</v>
      </c>
      <c r="E786" s="2" t="s">
        <v>18</v>
      </c>
      <c r="F786">
        <v>31</v>
      </c>
      <c r="G786" s="2" t="s">
        <v>15</v>
      </c>
      <c r="H786">
        <v>4</v>
      </c>
      <c r="I786">
        <v>50</v>
      </c>
      <c r="J786">
        <v>200</v>
      </c>
      <c r="K786">
        <v>200</v>
      </c>
      <c r="L786">
        <v>2023</v>
      </c>
      <c r="M786">
        <v>666</v>
      </c>
      <c r="N786">
        <v>44959</v>
      </c>
      <c r="O786" t="str">
        <v>February</v>
      </c>
      <c r="P786" t="str">
        <v>CUST666</v>
      </c>
      <c r="Q786" t="str">
        <v>Male</v>
      </c>
      <c r="R786">
        <v>51</v>
      </c>
      <c r="S786" t="str">
        <v>Electronics</v>
      </c>
      <c r="T786">
        <v>3</v>
      </c>
      <c r="U786">
        <v>50</v>
      </c>
      <c r="V786">
        <v>150</v>
      </c>
      <c r="W786">
        <v>150</v>
      </c>
      <c r="X786">
        <v>2023</v>
      </c>
    </row>
    <row r="787" spans="1:24" x14ac:dyDescent="0.35">
      <c r="A787">
        <v>786</v>
      </c>
      <c r="B787" s="1">
        <v>45216</v>
      </c>
      <c r="C787" s="2" t="s">
        <v>33</v>
      </c>
      <c r="D787" s="2" t="s">
        <v>814</v>
      </c>
      <c r="E787" s="2" t="s">
        <v>14</v>
      </c>
      <c r="F787">
        <v>48</v>
      </c>
      <c r="G787" s="2" t="s">
        <v>19</v>
      </c>
      <c r="H787">
        <v>4</v>
      </c>
      <c r="I787">
        <v>25</v>
      </c>
      <c r="J787">
        <v>100</v>
      </c>
      <c r="K787">
        <v>100</v>
      </c>
      <c r="L787">
        <v>2023</v>
      </c>
      <c r="M787">
        <v>667</v>
      </c>
      <c r="N787">
        <v>45139</v>
      </c>
      <c r="O787" t="str">
        <v>August</v>
      </c>
      <c r="P787" t="str">
        <v>CUST667</v>
      </c>
      <c r="Q787" t="str">
        <v>Female</v>
      </c>
      <c r="R787">
        <v>29</v>
      </c>
      <c r="S787" t="str">
        <v>Electronics</v>
      </c>
      <c r="T787">
        <v>1</v>
      </c>
      <c r="U787">
        <v>500</v>
      </c>
      <c r="V787">
        <v>500</v>
      </c>
      <c r="W787">
        <v>500</v>
      </c>
      <c r="X787">
        <v>2023</v>
      </c>
    </row>
    <row r="788" spans="1:24" x14ac:dyDescent="0.35">
      <c r="A788">
        <v>787</v>
      </c>
      <c r="B788" s="1">
        <v>44948</v>
      </c>
      <c r="C788" s="2" t="s">
        <v>20</v>
      </c>
      <c r="D788" s="2" t="s">
        <v>815</v>
      </c>
      <c r="E788" s="2" t="s">
        <v>14</v>
      </c>
      <c r="F788">
        <v>41</v>
      </c>
      <c r="G788" s="2" t="s">
        <v>22</v>
      </c>
      <c r="H788">
        <v>1</v>
      </c>
      <c r="I788">
        <v>25</v>
      </c>
      <c r="J788">
        <v>25</v>
      </c>
      <c r="K788">
        <v>25</v>
      </c>
      <c r="L788">
        <v>2023</v>
      </c>
      <c r="M788">
        <v>668</v>
      </c>
      <c r="N788">
        <v>45135</v>
      </c>
      <c r="O788" t="str">
        <v>July</v>
      </c>
      <c r="P788" t="str">
        <v>CUST668</v>
      </c>
      <c r="Q788" t="str">
        <v>Female</v>
      </c>
      <c r="R788">
        <v>62</v>
      </c>
      <c r="S788" t="str">
        <v>Electronics</v>
      </c>
      <c r="T788">
        <v>3</v>
      </c>
      <c r="U788">
        <v>50</v>
      </c>
      <c r="V788">
        <v>150</v>
      </c>
      <c r="W788">
        <v>150</v>
      </c>
      <c r="X788">
        <v>2023</v>
      </c>
    </row>
    <row r="789" spans="1:24" x14ac:dyDescent="0.35">
      <c r="A789">
        <v>788</v>
      </c>
      <c r="B789" s="1">
        <v>45104</v>
      </c>
      <c r="C789" s="2" t="s">
        <v>62</v>
      </c>
      <c r="D789" s="2" t="s">
        <v>816</v>
      </c>
      <c r="E789" s="2" t="s">
        <v>18</v>
      </c>
      <c r="F789">
        <v>52</v>
      </c>
      <c r="G789" s="2" t="s">
        <v>15</v>
      </c>
      <c r="H789">
        <v>3</v>
      </c>
      <c r="I789">
        <v>300</v>
      </c>
      <c r="J789">
        <v>900</v>
      </c>
      <c r="K789">
        <v>900</v>
      </c>
      <c r="L789">
        <v>2023</v>
      </c>
      <c r="M789">
        <v>669</v>
      </c>
      <c r="N789">
        <v>45096</v>
      </c>
      <c r="O789" t="str">
        <v>June</v>
      </c>
      <c r="P789" t="str">
        <v>CUST669</v>
      </c>
      <c r="Q789" t="str">
        <v>Male</v>
      </c>
      <c r="R789">
        <v>24</v>
      </c>
      <c r="S789" t="str">
        <v>Beauty</v>
      </c>
      <c r="T789">
        <v>4</v>
      </c>
      <c r="U789">
        <v>300</v>
      </c>
      <c r="V789">
        <v>1200</v>
      </c>
      <c r="W789">
        <v>1200</v>
      </c>
      <c r="X789">
        <v>2023</v>
      </c>
    </row>
    <row r="790" spans="1:24" x14ac:dyDescent="0.35">
      <c r="A790">
        <v>789</v>
      </c>
      <c r="B790" s="1">
        <v>45199</v>
      </c>
      <c r="C790" s="2" t="s">
        <v>44</v>
      </c>
      <c r="D790" s="2" t="s">
        <v>817</v>
      </c>
      <c r="E790" s="2" t="s">
        <v>18</v>
      </c>
      <c r="F790">
        <v>61</v>
      </c>
      <c r="G790" s="2" t="s">
        <v>19</v>
      </c>
      <c r="H790">
        <v>4</v>
      </c>
      <c r="I790">
        <v>500</v>
      </c>
      <c r="J790">
        <v>2000</v>
      </c>
      <c r="K790">
        <v>2000</v>
      </c>
      <c r="L790">
        <v>2023</v>
      </c>
      <c r="M790">
        <v>670</v>
      </c>
      <c r="N790">
        <v>45204</v>
      </c>
      <c r="O790" t="str">
        <v>October</v>
      </c>
      <c r="P790" t="str">
        <v>CUST670</v>
      </c>
      <c r="Q790" t="str">
        <v>Male</v>
      </c>
      <c r="R790">
        <v>27</v>
      </c>
      <c r="S790" t="str">
        <v>Beauty</v>
      </c>
      <c r="T790">
        <v>1</v>
      </c>
      <c r="U790">
        <v>30</v>
      </c>
      <c r="V790">
        <v>30</v>
      </c>
      <c r="W790">
        <v>30</v>
      </c>
      <c r="X790">
        <v>2023</v>
      </c>
    </row>
    <row r="791" spans="1:24" x14ac:dyDescent="0.35">
      <c r="A791">
        <v>790</v>
      </c>
      <c r="B791" s="1">
        <v>45146</v>
      </c>
      <c r="C791" s="2" t="s">
        <v>37</v>
      </c>
      <c r="D791" s="2" t="s">
        <v>818</v>
      </c>
      <c r="E791" s="2" t="s">
        <v>14</v>
      </c>
      <c r="F791">
        <v>62</v>
      </c>
      <c r="G791" s="2" t="s">
        <v>19</v>
      </c>
      <c r="H791">
        <v>1</v>
      </c>
      <c r="I791">
        <v>25</v>
      </c>
      <c r="J791">
        <v>25</v>
      </c>
      <c r="K791">
        <v>25</v>
      </c>
      <c r="L791">
        <v>2023</v>
      </c>
      <c r="M791">
        <v>671</v>
      </c>
      <c r="N791">
        <v>45165</v>
      </c>
      <c r="O791" t="str">
        <v>August</v>
      </c>
      <c r="P791" t="str">
        <v>CUST671</v>
      </c>
      <c r="Q791" t="str">
        <v>Male</v>
      </c>
      <c r="R791">
        <v>62</v>
      </c>
      <c r="S791" t="str">
        <v>Electronics</v>
      </c>
      <c r="T791">
        <v>3</v>
      </c>
      <c r="U791">
        <v>50</v>
      </c>
      <c r="V791">
        <v>150</v>
      </c>
      <c r="W791">
        <v>150</v>
      </c>
      <c r="X791">
        <v>2023</v>
      </c>
    </row>
    <row r="792" spans="1:24" x14ac:dyDescent="0.35">
      <c r="A792">
        <v>791</v>
      </c>
      <c r="B792" s="1">
        <v>45265</v>
      </c>
      <c r="C792" s="2" t="s">
        <v>31</v>
      </c>
      <c r="D792" s="2" t="s">
        <v>819</v>
      </c>
      <c r="E792" s="2" t="s">
        <v>18</v>
      </c>
      <c r="F792">
        <v>51</v>
      </c>
      <c r="G792" s="2" t="s">
        <v>15</v>
      </c>
      <c r="H792">
        <v>1</v>
      </c>
      <c r="I792">
        <v>25</v>
      </c>
      <c r="J792">
        <v>25</v>
      </c>
      <c r="K792">
        <v>25</v>
      </c>
      <c r="L792">
        <v>2023</v>
      </c>
      <c r="M792">
        <v>672</v>
      </c>
      <c r="N792">
        <v>45139</v>
      </c>
      <c r="O792" t="str">
        <v>August</v>
      </c>
      <c r="P792" t="str">
        <v>CUST672</v>
      </c>
      <c r="Q792" t="str">
        <v>Female</v>
      </c>
      <c r="R792">
        <v>34</v>
      </c>
      <c r="S792" t="str">
        <v>Beauty</v>
      </c>
      <c r="T792">
        <v>2</v>
      </c>
      <c r="U792">
        <v>50</v>
      </c>
      <c r="V792">
        <v>100</v>
      </c>
      <c r="W792">
        <v>100</v>
      </c>
      <c r="X792">
        <v>2023</v>
      </c>
    </row>
    <row r="793" spans="1:24" x14ac:dyDescent="0.35">
      <c r="A793">
        <v>792</v>
      </c>
      <c r="B793" s="1">
        <v>45116</v>
      </c>
      <c r="C793" s="2" t="s">
        <v>70</v>
      </c>
      <c r="D793" s="2" t="s">
        <v>820</v>
      </c>
      <c r="E793" s="2" t="s">
        <v>18</v>
      </c>
      <c r="F793">
        <v>20</v>
      </c>
      <c r="G793" s="2" t="s">
        <v>15</v>
      </c>
      <c r="H793">
        <v>1</v>
      </c>
      <c r="I793">
        <v>50</v>
      </c>
      <c r="J793">
        <v>50</v>
      </c>
      <c r="K793">
        <v>50</v>
      </c>
      <c r="L793">
        <v>2023</v>
      </c>
      <c r="M793">
        <v>673</v>
      </c>
      <c r="N793">
        <v>44958</v>
      </c>
      <c r="O793" t="str">
        <v>February</v>
      </c>
      <c r="P793" t="str">
        <v>CUST673</v>
      </c>
      <c r="Q793" t="str">
        <v>Female</v>
      </c>
      <c r="R793">
        <v>43</v>
      </c>
      <c r="S793" t="str">
        <v>Clothing</v>
      </c>
      <c r="T793">
        <v>3</v>
      </c>
      <c r="U793">
        <v>500</v>
      </c>
      <c r="V793">
        <v>1500</v>
      </c>
      <c r="W793">
        <v>1500</v>
      </c>
      <c r="X793">
        <v>2023</v>
      </c>
    </row>
    <row r="794" spans="1:24" x14ac:dyDescent="0.35">
      <c r="A794">
        <v>793</v>
      </c>
      <c r="B794" s="1">
        <v>44962</v>
      </c>
      <c r="C794" s="2" t="s">
        <v>16</v>
      </c>
      <c r="D794" s="2" t="s">
        <v>821</v>
      </c>
      <c r="E794" s="2" t="s">
        <v>14</v>
      </c>
      <c r="F794">
        <v>54</v>
      </c>
      <c r="G794" s="2" t="s">
        <v>15</v>
      </c>
      <c r="H794">
        <v>1</v>
      </c>
      <c r="I794">
        <v>30</v>
      </c>
      <c r="J794">
        <v>30</v>
      </c>
      <c r="K794">
        <v>30</v>
      </c>
      <c r="L794">
        <v>2023</v>
      </c>
      <c r="M794">
        <v>674</v>
      </c>
      <c r="N794">
        <v>45032</v>
      </c>
      <c r="O794" t="str">
        <v>April</v>
      </c>
      <c r="P794" t="str">
        <v>CUST674</v>
      </c>
      <c r="Q794" t="str">
        <v>Female</v>
      </c>
      <c r="R794">
        <v>38</v>
      </c>
      <c r="S794" t="str">
        <v>Clothing</v>
      </c>
      <c r="T794">
        <v>1</v>
      </c>
      <c r="U794">
        <v>300</v>
      </c>
      <c r="V794">
        <v>300</v>
      </c>
      <c r="W794">
        <v>300</v>
      </c>
      <c r="X794">
        <v>2023</v>
      </c>
    </row>
    <row r="795" spans="1:24" x14ac:dyDescent="0.35">
      <c r="A795">
        <v>794</v>
      </c>
      <c r="B795" s="1">
        <v>45186</v>
      </c>
      <c r="C795" s="2" t="s">
        <v>44</v>
      </c>
      <c r="D795" s="2" t="s">
        <v>822</v>
      </c>
      <c r="E795" s="2" t="s">
        <v>18</v>
      </c>
      <c r="F795">
        <v>60</v>
      </c>
      <c r="G795" s="2" t="s">
        <v>15</v>
      </c>
      <c r="H795">
        <v>1</v>
      </c>
      <c r="I795">
        <v>300</v>
      </c>
      <c r="J795">
        <v>300</v>
      </c>
      <c r="K795">
        <v>300</v>
      </c>
      <c r="L795">
        <v>2023</v>
      </c>
      <c r="M795">
        <v>675</v>
      </c>
      <c r="N795">
        <v>45142</v>
      </c>
      <c r="O795" t="str">
        <v>August</v>
      </c>
      <c r="P795" t="str">
        <v>CUST675</v>
      </c>
      <c r="Q795" t="str">
        <v>Female</v>
      </c>
      <c r="R795">
        <v>45</v>
      </c>
      <c r="S795" t="str">
        <v>Clothing</v>
      </c>
      <c r="T795">
        <v>2</v>
      </c>
      <c r="U795">
        <v>30</v>
      </c>
      <c r="V795">
        <v>60</v>
      </c>
      <c r="W795">
        <v>60</v>
      </c>
      <c r="X795">
        <v>2023</v>
      </c>
    </row>
    <row r="796" spans="1:24" x14ac:dyDescent="0.35">
      <c r="A796">
        <v>795</v>
      </c>
      <c r="B796" s="1">
        <v>45258</v>
      </c>
      <c r="C796" s="2" t="s">
        <v>12</v>
      </c>
      <c r="D796" s="2" t="s">
        <v>823</v>
      </c>
      <c r="E796" s="2" t="s">
        <v>14</v>
      </c>
      <c r="F796">
        <v>57</v>
      </c>
      <c r="G796" s="2" t="s">
        <v>22</v>
      </c>
      <c r="H796">
        <v>1</v>
      </c>
      <c r="I796">
        <v>300</v>
      </c>
      <c r="J796">
        <v>300</v>
      </c>
      <c r="K796">
        <v>300</v>
      </c>
      <c r="L796">
        <v>2023</v>
      </c>
      <c r="M796">
        <v>676</v>
      </c>
      <c r="N796">
        <v>45126</v>
      </c>
      <c r="O796" t="str">
        <v>July</v>
      </c>
      <c r="P796" t="str">
        <v>CUST676</v>
      </c>
      <c r="Q796" t="str">
        <v>Male</v>
      </c>
      <c r="R796">
        <v>63</v>
      </c>
      <c r="S796" t="str">
        <v>Electronics</v>
      </c>
      <c r="T796">
        <v>3</v>
      </c>
      <c r="U796">
        <v>500</v>
      </c>
      <c r="V796">
        <v>1500</v>
      </c>
      <c r="W796">
        <v>1500</v>
      </c>
      <c r="X796">
        <v>2023</v>
      </c>
    </row>
    <row r="797" spans="1:24" x14ac:dyDescent="0.35">
      <c r="A797">
        <v>796</v>
      </c>
      <c r="B797" s="1">
        <v>45101</v>
      </c>
      <c r="C797" s="2" t="s">
        <v>62</v>
      </c>
      <c r="D797" s="2" t="s">
        <v>824</v>
      </c>
      <c r="E797" s="2" t="s">
        <v>14</v>
      </c>
      <c r="F797">
        <v>43</v>
      </c>
      <c r="G797" s="2" t="s">
        <v>15</v>
      </c>
      <c r="H797">
        <v>4</v>
      </c>
      <c r="I797">
        <v>30</v>
      </c>
      <c r="J797">
        <v>120</v>
      </c>
      <c r="K797">
        <v>120</v>
      </c>
      <c r="L797">
        <v>2023</v>
      </c>
      <c r="M797">
        <v>677</v>
      </c>
      <c r="N797">
        <v>45226</v>
      </c>
      <c r="O797" t="str">
        <v>October</v>
      </c>
      <c r="P797" t="str">
        <v>CUST677</v>
      </c>
      <c r="Q797" t="str">
        <v>Female</v>
      </c>
      <c r="R797">
        <v>19</v>
      </c>
      <c r="S797" t="str">
        <v>Beauty</v>
      </c>
      <c r="T797">
        <v>3</v>
      </c>
      <c r="U797">
        <v>500</v>
      </c>
      <c r="V797">
        <v>1500</v>
      </c>
      <c r="W797">
        <v>1500</v>
      </c>
      <c r="X797">
        <v>2023</v>
      </c>
    </row>
    <row r="798" spans="1:24" x14ac:dyDescent="0.35">
      <c r="A798">
        <v>797</v>
      </c>
      <c r="B798" s="1">
        <v>44933</v>
      </c>
      <c r="C798" s="2" t="s">
        <v>20</v>
      </c>
      <c r="D798" s="2" t="s">
        <v>825</v>
      </c>
      <c r="E798" s="2" t="s">
        <v>14</v>
      </c>
      <c r="F798">
        <v>40</v>
      </c>
      <c r="G798" s="2" t="s">
        <v>19</v>
      </c>
      <c r="H798">
        <v>3</v>
      </c>
      <c r="I798">
        <v>25</v>
      </c>
      <c r="J798">
        <v>75</v>
      </c>
      <c r="K798">
        <v>75</v>
      </c>
      <c r="L798">
        <v>2023</v>
      </c>
      <c r="M798">
        <v>678</v>
      </c>
      <c r="N798">
        <v>45283</v>
      </c>
      <c r="O798" t="str">
        <v>December</v>
      </c>
      <c r="P798" t="str">
        <v>CUST678</v>
      </c>
      <c r="Q798" t="str">
        <v>Female</v>
      </c>
      <c r="R798">
        <v>60</v>
      </c>
      <c r="S798" t="str">
        <v>Electronics</v>
      </c>
      <c r="T798">
        <v>3</v>
      </c>
      <c r="U798">
        <v>300</v>
      </c>
      <c r="V798">
        <v>900</v>
      </c>
      <c r="W798">
        <v>900</v>
      </c>
      <c r="X798">
        <v>2023</v>
      </c>
    </row>
    <row r="799" spans="1:24" x14ac:dyDescent="0.35">
      <c r="A799">
        <v>798</v>
      </c>
      <c r="B799" s="1">
        <v>45142</v>
      </c>
      <c r="C799" s="2" t="s">
        <v>37</v>
      </c>
      <c r="D799" s="2" t="s">
        <v>826</v>
      </c>
      <c r="E799" s="2" t="s">
        <v>14</v>
      </c>
      <c r="F799">
        <v>61</v>
      </c>
      <c r="G799" s="2" t="s">
        <v>19</v>
      </c>
      <c r="H799">
        <v>1</v>
      </c>
      <c r="I799">
        <v>50</v>
      </c>
      <c r="J799">
        <v>50</v>
      </c>
      <c r="K799">
        <v>50</v>
      </c>
      <c r="L799">
        <v>2023</v>
      </c>
      <c r="M799">
        <v>679</v>
      </c>
      <c r="N799">
        <v>44937</v>
      </c>
      <c r="O799" t="str">
        <v>January</v>
      </c>
      <c r="P799" t="str">
        <v>CUST679</v>
      </c>
      <c r="Q799" t="str">
        <v>Female</v>
      </c>
      <c r="R799">
        <v>18</v>
      </c>
      <c r="S799" t="str">
        <v>Beauty</v>
      </c>
      <c r="T799">
        <v>3</v>
      </c>
      <c r="U799">
        <v>30</v>
      </c>
      <c r="V799">
        <v>90</v>
      </c>
      <c r="W799">
        <v>90</v>
      </c>
      <c r="X799">
        <v>2023</v>
      </c>
    </row>
    <row r="800" spans="1:24" x14ac:dyDescent="0.35">
      <c r="A800">
        <v>799</v>
      </c>
      <c r="B800" s="1">
        <v>45177</v>
      </c>
      <c r="C800" s="2" t="s">
        <v>44</v>
      </c>
      <c r="D800" s="2" t="s">
        <v>827</v>
      </c>
      <c r="E800" s="2" t="s">
        <v>14</v>
      </c>
      <c r="F800">
        <v>56</v>
      </c>
      <c r="G800" s="2" t="s">
        <v>22</v>
      </c>
      <c r="H800">
        <v>2</v>
      </c>
      <c r="I800">
        <v>50</v>
      </c>
      <c r="J800">
        <v>100</v>
      </c>
      <c r="K800">
        <v>100</v>
      </c>
      <c r="L800">
        <v>2023</v>
      </c>
      <c r="M800">
        <v>680</v>
      </c>
      <c r="N800">
        <v>45221</v>
      </c>
      <c r="O800" t="str">
        <v>October</v>
      </c>
      <c r="P800" t="str">
        <v>CUST680</v>
      </c>
      <c r="Q800" t="str">
        <v>Female</v>
      </c>
      <c r="R800">
        <v>53</v>
      </c>
      <c r="S800" t="str">
        <v>Clothing</v>
      </c>
      <c r="T800">
        <v>3</v>
      </c>
      <c r="U800">
        <v>300</v>
      </c>
      <c r="V800">
        <v>900</v>
      </c>
      <c r="W800">
        <v>900</v>
      </c>
      <c r="X800">
        <v>2023</v>
      </c>
    </row>
    <row r="801" spans="1:24" x14ac:dyDescent="0.35">
      <c r="A801">
        <v>800</v>
      </c>
      <c r="B801" s="1">
        <v>44981</v>
      </c>
      <c r="C801" s="2" t="s">
        <v>16</v>
      </c>
      <c r="D801" s="2" t="s">
        <v>828</v>
      </c>
      <c r="E801" s="2" t="s">
        <v>14</v>
      </c>
      <c r="F801">
        <v>32</v>
      </c>
      <c r="G801" s="2" t="s">
        <v>19</v>
      </c>
      <c r="H801">
        <v>4</v>
      </c>
      <c r="I801">
        <v>300</v>
      </c>
      <c r="J801">
        <v>1200</v>
      </c>
      <c r="K801">
        <v>1200</v>
      </c>
      <c r="L801">
        <v>2023</v>
      </c>
      <c r="M801">
        <v>681</v>
      </c>
      <c r="N801">
        <v>45121</v>
      </c>
      <c r="O801" t="str">
        <v>July</v>
      </c>
      <c r="P801" t="str">
        <v>CUST681</v>
      </c>
      <c r="Q801" t="str">
        <v>Female</v>
      </c>
      <c r="R801">
        <v>43</v>
      </c>
      <c r="S801" t="str">
        <v>Electronics</v>
      </c>
      <c r="T801">
        <v>2</v>
      </c>
      <c r="U801">
        <v>30</v>
      </c>
      <c r="V801">
        <v>60</v>
      </c>
      <c r="W801">
        <v>60</v>
      </c>
      <c r="X801">
        <v>2023</v>
      </c>
    </row>
    <row r="802" spans="1:24" x14ac:dyDescent="0.35">
      <c r="A802">
        <v>801</v>
      </c>
      <c r="B802" s="1">
        <v>45148</v>
      </c>
      <c r="C802" s="2" t="s">
        <v>37</v>
      </c>
      <c r="D802" s="2" t="s">
        <v>829</v>
      </c>
      <c r="E802" s="2" t="s">
        <v>14</v>
      </c>
      <c r="F802">
        <v>21</v>
      </c>
      <c r="G802" s="2" t="s">
        <v>19</v>
      </c>
      <c r="H802">
        <v>4</v>
      </c>
      <c r="I802">
        <v>50</v>
      </c>
      <c r="J802">
        <v>200</v>
      </c>
      <c r="K802">
        <v>200</v>
      </c>
      <c r="L802">
        <v>2023</v>
      </c>
      <c r="M802">
        <v>682</v>
      </c>
      <c r="N802">
        <v>45171</v>
      </c>
      <c r="O802" t="str">
        <v>September</v>
      </c>
      <c r="P802" t="str">
        <v>CUST682</v>
      </c>
      <c r="Q802" t="str">
        <v>Male</v>
      </c>
      <c r="R802">
        <v>46</v>
      </c>
      <c r="S802" t="str">
        <v>Beauty</v>
      </c>
      <c r="T802">
        <v>4</v>
      </c>
      <c r="U802">
        <v>300</v>
      </c>
      <c r="V802">
        <v>1200</v>
      </c>
      <c r="W802">
        <v>1200</v>
      </c>
      <c r="X802">
        <v>2023</v>
      </c>
    </row>
    <row r="803" spans="1:24" x14ac:dyDescent="0.35">
      <c r="A803">
        <v>802</v>
      </c>
      <c r="B803" s="1">
        <v>45112</v>
      </c>
      <c r="C803" s="2" t="s">
        <v>70</v>
      </c>
      <c r="D803" s="2" t="s">
        <v>830</v>
      </c>
      <c r="E803" s="2" t="s">
        <v>18</v>
      </c>
      <c r="F803">
        <v>46</v>
      </c>
      <c r="G803" s="2" t="s">
        <v>15</v>
      </c>
      <c r="H803">
        <v>1</v>
      </c>
      <c r="I803">
        <v>30</v>
      </c>
      <c r="J803">
        <v>30</v>
      </c>
      <c r="K803">
        <v>30</v>
      </c>
      <c r="L803">
        <v>2023</v>
      </c>
      <c r="M803">
        <v>683</v>
      </c>
      <c r="N803">
        <v>44930</v>
      </c>
      <c r="O803" t="str">
        <v>January</v>
      </c>
      <c r="P803" t="str">
        <v>CUST683</v>
      </c>
      <c r="Q803" t="str">
        <v>Male</v>
      </c>
      <c r="R803">
        <v>38</v>
      </c>
      <c r="S803" t="str">
        <v>Beauty</v>
      </c>
      <c r="T803">
        <v>2</v>
      </c>
      <c r="U803">
        <v>500</v>
      </c>
      <c r="V803">
        <v>1000</v>
      </c>
      <c r="W803">
        <v>1000</v>
      </c>
      <c r="X803">
        <v>2023</v>
      </c>
    </row>
    <row r="804" spans="1:24" x14ac:dyDescent="0.35">
      <c r="A804">
        <v>803</v>
      </c>
      <c r="B804" s="1">
        <v>45252</v>
      </c>
      <c r="C804" s="2" t="s">
        <v>12</v>
      </c>
      <c r="D804" s="2" t="s">
        <v>831</v>
      </c>
      <c r="E804" s="2" t="s">
        <v>14</v>
      </c>
      <c r="F804">
        <v>39</v>
      </c>
      <c r="G804" s="2" t="s">
        <v>19</v>
      </c>
      <c r="H804">
        <v>4</v>
      </c>
      <c r="I804">
        <v>25</v>
      </c>
      <c r="J804">
        <v>100</v>
      </c>
      <c r="K804">
        <v>100</v>
      </c>
      <c r="L804">
        <v>2023</v>
      </c>
      <c r="M804">
        <v>684</v>
      </c>
      <c r="N804">
        <v>45107</v>
      </c>
      <c r="O804" t="str">
        <v>June</v>
      </c>
      <c r="P804" t="str">
        <v>CUST684</v>
      </c>
      <c r="Q804" t="str">
        <v>Female</v>
      </c>
      <c r="R804">
        <v>28</v>
      </c>
      <c r="S804" t="str">
        <v>Clothing</v>
      </c>
      <c r="T804">
        <v>2</v>
      </c>
      <c r="U804">
        <v>500</v>
      </c>
      <c r="V804">
        <v>1000</v>
      </c>
      <c r="W804">
        <v>1000</v>
      </c>
      <c r="X804">
        <v>2023</v>
      </c>
    </row>
    <row r="805" spans="1:24" x14ac:dyDescent="0.35">
      <c r="A805">
        <v>804</v>
      </c>
      <c r="B805" s="1">
        <v>45162</v>
      </c>
      <c r="C805" s="2" t="s">
        <v>37</v>
      </c>
      <c r="D805" s="2" t="s">
        <v>832</v>
      </c>
      <c r="E805" s="2" t="s">
        <v>14</v>
      </c>
      <c r="F805">
        <v>42</v>
      </c>
      <c r="G805" s="2" t="s">
        <v>22</v>
      </c>
      <c r="H805">
        <v>1</v>
      </c>
      <c r="I805">
        <v>30</v>
      </c>
      <c r="J805">
        <v>30</v>
      </c>
      <c r="K805">
        <v>30</v>
      </c>
      <c r="L805">
        <v>2023</v>
      </c>
      <c r="M805">
        <v>685</v>
      </c>
      <c r="N805">
        <v>45079</v>
      </c>
      <c r="O805" t="str">
        <v>June</v>
      </c>
      <c r="P805" t="str">
        <v>CUST685</v>
      </c>
      <c r="Q805" t="str">
        <v>Male</v>
      </c>
      <c r="R805">
        <v>57</v>
      </c>
      <c r="S805" t="str">
        <v>Electronics</v>
      </c>
      <c r="T805">
        <v>2</v>
      </c>
      <c r="U805">
        <v>25</v>
      </c>
      <c r="V805">
        <v>50</v>
      </c>
      <c r="W805">
        <v>50</v>
      </c>
      <c r="X805">
        <v>2023</v>
      </c>
    </row>
    <row r="806" spans="1:24" x14ac:dyDescent="0.35">
      <c r="A806">
        <v>805</v>
      </c>
      <c r="B806" s="1">
        <v>45289</v>
      </c>
      <c r="C806" s="2" t="s">
        <v>31</v>
      </c>
      <c r="D806" s="2" t="s">
        <v>833</v>
      </c>
      <c r="E806" s="2" t="s">
        <v>18</v>
      </c>
      <c r="F806">
        <v>30</v>
      </c>
      <c r="G806" s="2" t="s">
        <v>15</v>
      </c>
      <c r="H806">
        <v>3</v>
      </c>
      <c r="I806">
        <v>500</v>
      </c>
      <c r="J806">
        <v>1500</v>
      </c>
      <c r="K806">
        <v>1500</v>
      </c>
      <c r="L806">
        <v>2023</v>
      </c>
      <c r="M806">
        <v>686</v>
      </c>
      <c r="N806">
        <v>45126</v>
      </c>
      <c r="O806" t="str">
        <v>July</v>
      </c>
      <c r="P806" t="str">
        <v>CUST686</v>
      </c>
      <c r="Q806" t="str">
        <v>Female</v>
      </c>
      <c r="R806">
        <v>28</v>
      </c>
      <c r="S806" t="str">
        <v>Electronics</v>
      </c>
      <c r="T806">
        <v>4</v>
      </c>
      <c r="U806">
        <v>50</v>
      </c>
      <c r="V806">
        <v>200</v>
      </c>
      <c r="W806">
        <v>200</v>
      </c>
      <c r="X806">
        <v>2023</v>
      </c>
    </row>
    <row r="807" spans="1:24" x14ac:dyDescent="0.35">
      <c r="A807">
        <v>806</v>
      </c>
      <c r="B807" s="1">
        <v>45005</v>
      </c>
      <c r="C807" s="2" t="s">
        <v>28</v>
      </c>
      <c r="D807" s="2" t="s">
        <v>834</v>
      </c>
      <c r="E807" s="2" t="s">
        <v>18</v>
      </c>
      <c r="F807">
        <v>35</v>
      </c>
      <c r="G807" s="2" t="s">
        <v>15</v>
      </c>
      <c r="H807">
        <v>3</v>
      </c>
      <c r="I807">
        <v>300</v>
      </c>
      <c r="J807">
        <v>900</v>
      </c>
      <c r="K807">
        <v>900</v>
      </c>
      <c r="L807">
        <v>2023</v>
      </c>
      <c r="M807">
        <v>687</v>
      </c>
      <c r="N807">
        <v>45141</v>
      </c>
      <c r="O807" t="str">
        <v>August</v>
      </c>
      <c r="P807" t="str">
        <v>CUST687</v>
      </c>
      <c r="Q807" t="str">
        <v>Female</v>
      </c>
      <c r="R807">
        <v>53</v>
      </c>
      <c r="S807" t="str">
        <v>Electronics</v>
      </c>
      <c r="T807">
        <v>1</v>
      </c>
      <c r="U807">
        <v>300</v>
      </c>
      <c r="V807">
        <v>300</v>
      </c>
      <c r="W807">
        <v>300</v>
      </c>
      <c r="X807">
        <v>2023</v>
      </c>
    </row>
    <row r="808" spans="1:24" x14ac:dyDescent="0.35">
      <c r="A808">
        <v>807</v>
      </c>
      <c r="B808" s="1">
        <v>45149</v>
      </c>
      <c r="C808" s="2" t="s">
        <v>37</v>
      </c>
      <c r="D808" s="2" t="s">
        <v>835</v>
      </c>
      <c r="E808" s="2" t="s">
        <v>18</v>
      </c>
      <c r="F808">
        <v>50</v>
      </c>
      <c r="G808" s="2" t="s">
        <v>22</v>
      </c>
      <c r="H808">
        <v>4</v>
      </c>
      <c r="I808">
        <v>50</v>
      </c>
      <c r="J808">
        <v>200</v>
      </c>
      <c r="K808">
        <v>200</v>
      </c>
      <c r="L808">
        <v>2023</v>
      </c>
      <c r="M808">
        <v>688</v>
      </c>
      <c r="N808">
        <v>45202</v>
      </c>
      <c r="O808" t="str">
        <v>October</v>
      </c>
      <c r="P808" t="str">
        <v>CUST688</v>
      </c>
      <c r="Q808" t="str">
        <v>Male</v>
      </c>
      <c r="R808">
        <v>56</v>
      </c>
      <c r="S808" t="str">
        <v>Clothing</v>
      </c>
      <c r="T808">
        <v>4</v>
      </c>
      <c r="U808">
        <v>25</v>
      </c>
      <c r="V808">
        <v>100</v>
      </c>
      <c r="W808">
        <v>100</v>
      </c>
      <c r="X808">
        <v>2023</v>
      </c>
    </row>
    <row r="809" spans="1:24" x14ac:dyDescent="0.35">
      <c r="A809">
        <v>808</v>
      </c>
      <c r="B809" s="1">
        <v>45017</v>
      </c>
      <c r="C809" s="2" t="s">
        <v>26</v>
      </c>
      <c r="D809" s="2" t="s">
        <v>836</v>
      </c>
      <c r="E809" s="2" t="s">
        <v>14</v>
      </c>
      <c r="F809">
        <v>33</v>
      </c>
      <c r="G809" s="2" t="s">
        <v>15</v>
      </c>
      <c r="H809">
        <v>4</v>
      </c>
      <c r="I809">
        <v>500</v>
      </c>
      <c r="J809">
        <v>2000</v>
      </c>
      <c r="K809">
        <v>2000</v>
      </c>
      <c r="L809">
        <v>2023</v>
      </c>
      <c r="M809">
        <v>689</v>
      </c>
      <c r="N809">
        <v>45206</v>
      </c>
      <c r="O809" t="str">
        <v>October</v>
      </c>
      <c r="P809" t="str">
        <v>CUST689</v>
      </c>
      <c r="Q809" t="str">
        <v>Male</v>
      </c>
      <c r="R809">
        <v>57</v>
      </c>
      <c r="S809" t="str">
        <v>Electronics</v>
      </c>
      <c r="T809">
        <v>2</v>
      </c>
      <c r="U809">
        <v>50</v>
      </c>
      <c r="V809">
        <v>100</v>
      </c>
      <c r="W809">
        <v>100</v>
      </c>
      <c r="X809">
        <v>2023</v>
      </c>
    </row>
    <row r="810" spans="1:24" x14ac:dyDescent="0.35">
      <c r="A810">
        <v>809</v>
      </c>
      <c r="B810" s="1">
        <v>45194</v>
      </c>
      <c r="C810" s="2" t="s">
        <v>44</v>
      </c>
      <c r="D810" s="2" t="s">
        <v>837</v>
      </c>
      <c r="E810" s="2" t="s">
        <v>18</v>
      </c>
      <c r="F810">
        <v>62</v>
      </c>
      <c r="G810" s="2" t="s">
        <v>15</v>
      </c>
      <c r="H810">
        <v>2</v>
      </c>
      <c r="I810">
        <v>50</v>
      </c>
      <c r="J810">
        <v>100</v>
      </c>
      <c r="K810">
        <v>100</v>
      </c>
      <c r="L810">
        <v>2023</v>
      </c>
      <c r="M810">
        <v>690</v>
      </c>
      <c r="N810">
        <v>45235</v>
      </c>
      <c r="O810" t="str">
        <v>November</v>
      </c>
      <c r="P810" t="str">
        <v>CUST690</v>
      </c>
      <c r="Q810" t="str">
        <v>Female</v>
      </c>
      <c r="R810">
        <v>52</v>
      </c>
      <c r="S810" t="str">
        <v>Clothing</v>
      </c>
      <c r="T810">
        <v>3</v>
      </c>
      <c r="U810">
        <v>300</v>
      </c>
      <c r="V810">
        <v>900</v>
      </c>
      <c r="W810">
        <v>900</v>
      </c>
      <c r="X810">
        <v>2023</v>
      </c>
    </row>
    <row r="811" spans="1:24" x14ac:dyDescent="0.35">
      <c r="A811">
        <v>810</v>
      </c>
      <c r="B811" s="1">
        <v>45260</v>
      </c>
      <c r="C811" s="2" t="s">
        <v>12</v>
      </c>
      <c r="D811" s="2" t="s">
        <v>838</v>
      </c>
      <c r="E811" s="2" t="s">
        <v>14</v>
      </c>
      <c r="F811">
        <v>59</v>
      </c>
      <c r="G811" s="2" t="s">
        <v>22</v>
      </c>
      <c r="H811">
        <v>4</v>
      </c>
      <c r="I811">
        <v>25</v>
      </c>
      <c r="J811">
        <v>100</v>
      </c>
      <c r="K811">
        <v>100</v>
      </c>
      <c r="L811">
        <v>2023</v>
      </c>
      <c r="M811">
        <v>691</v>
      </c>
      <c r="N811">
        <v>45039</v>
      </c>
      <c r="O811" t="str">
        <v>April</v>
      </c>
      <c r="P811" t="str">
        <v>CUST691</v>
      </c>
      <c r="Q811" t="str">
        <v>Female</v>
      </c>
      <c r="R811">
        <v>51</v>
      </c>
      <c r="S811" t="str">
        <v>Clothing</v>
      </c>
      <c r="T811">
        <v>3</v>
      </c>
      <c r="U811">
        <v>30</v>
      </c>
      <c r="V811">
        <v>90</v>
      </c>
      <c r="W811">
        <v>90</v>
      </c>
      <c r="X811">
        <v>2023</v>
      </c>
    </row>
    <row r="812" spans="1:24" x14ac:dyDescent="0.35">
      <c r="A812">
        <v>811</v>
      </c>
      <c r="B812" s="1">
        <v>45065</v>
      </c>
      <c r="C812" s="2" t="s">
        <v>23</v>
      </c>
      <c r="D812" s="2" t="s">
        <v>839</v>
      </c>
      <c r="E812" s="2" t="s">
        <v>14</v>
      </c>
      <c r="F812">
        <v>61</v>
      </c>
      <c r="G812" s="2" t="s">
        <v>15</v>
      </c>
      <c r="H812">
        <v>2</v>
      </c>
      <c r="I812">
        <v>25</v>
      </c>
      <c r="J812">
        <v>50</v>
      </c>
      <c r="K812">
        <v>50</v>
      </c>
      <c r="L812">
        <v>2023</v>
      </c>
      <c r="M812">
        <v>692</v>
      </c>
      <c r="N812">
        <v>45176</v>
      </c>
      <c r="O812" t="str">
        <v>September</v>
      </c>
      <c r="P812" t="str">
        <v>CUST692</v>
      </c>
      <c r="Q812" t="str">
        <v>Female</v>
      </c>
      <c r="R812">
        <v>64</v>
      </c>
      <c r="S812" t="str">
        <v>Clothing</v>
      </c>
      <c r="T812">
        <v>2</v>
      </c>
      <c r="U812">
        <v>50</v>
      </c>
      <c r="V812">
        <v>100</v>
      </c>
      <c r="W812">
        <v>100</v>
      </c>
      <c r="X812">
        <v>2023</v>
      </c>
    </row>
    <row r="813" spans="1:24" x14ac:dyDescent="0.35">
      <c r="A813">
        <v>812</v>
      </c>
      <c r="B813" s="1">
        <v>45242</v>
      </c>
      <c r="C813" s="2" t="s">
        <v>12</v>
      </c>
      <c r="D813" s="2" t="s">
        <v>840</v>
      </c>
      <c r="E813" s="2" t="s">
        <v>14</v>
      </c>
      <c r="F813">
        <v>19</v>
      </c>
      <c r="G813" s="2" t="s">
        <v>22</v>
      </c>
      <c r="H813">
        <v>3</v>
      </c>
      <c r="I813">
        <v>25</v>
      </c>
      <c r="J813">
        <v>75</v>
      </c>
      <c r="K813">
        <v>75</v>
      </c>
      <c r="L813">
        <v>2023</v>
      </c>
      <c r="M813">
        <v>693</v>
      </c>
      <c r="N813">
        <v>45039</v>
      </c>
      <c r="O813" t="str">
        <v>April</v>
      </c>
      <c r="P813" t="str">
        <v>CUST693</v>
      </c>
      <c r="Q813" t="str">
        <v>Male</v>
      </c>
      <c r="R813">
        <v>41</v>
      </c>
      <c r="S813" t="str">
        <v>Beauty</v>
      </c>
      <c r="T813">
        <v>3</v>
      </c>
      <c r="U813">
        <v>500</v>
      </c>
      <c r="V813">
        <v>1500</v>
      </c>
      <c r="W813">
        <v>1500</v>
      </c>
      <c r="X813">
        <v>2023</v>
      </c>
    </row>
    <row r="814" spans="1:24" x14ac:dyDescent="0.35">
      <c r="A814">
        <v>813</v>
      </c>
      <c r="B814" s="1">
        <v>45202</v>
      </c>
      <c r="C814" s="2" t="s">
        <v>33</v>
      </c>
      <c r="D814" s="2" t="s">
        <v>841</v>
      </c>
      <c r="E814" s="2" t="s">
        <v>14</v>
      </c>
      <c r="F814">
        <v>52</v>
      </c>
      <c r="G814" s="2" t="s">
        <v>22</v>
      </c>
      <c r="H814">
        <v>3</v>
      </c>
      <c r="I814">
        <v>50</v>
      </c>
      <c r="J814">
        <v>150</v>
      </c>
      <c r="K814">
        <v>150</v>
      </c>
      <c r="L814">
        <v>2023</v>
      </c>
      <c r="M814">
        <v>694</v>
      </c>
      <c r="N814">
        <v>45066</v>
      </c>
      <c r="O814" t="str">
        <v>May</v>
      </c>
      <c r="P814" t="str">
        <v>CUST694</v>
      </c>
      <c r="Q814" t="str">
        <v>Female</v>
      </c>
      <c r="R814">
        <v>39</v>
      </c>
      <c r="S814" t="str">
        <v>Electronics</v>
      </c>
      <c r="T814">
        <v>2</v>
      </c>
      <c r="U814">
        <v>25</v>
      </c>
      <c r="V814">
        <v>50</v>
      </c>
      <c r="W814">
        <v>50</v>
      </c>
      <c r="X814">
        <v>2023</v>
      </c>
    </row>
    <row r="815" spans="1:24" x14ac:dyDescent="0.35">
      <c r="A815">
        <v>814</v>
      </c>
      <c r="B815" s="1">
        <v>45174</v>
      </c>
      <c r="C815" s="2" t="s">
        <v>44</v>
      </c>
      <c r="D815" s="2" t="s">
        <v>842</v>
      </c>
      <c r="E815" s="2" t="s">
        <v>18</v>
      </c>
      <c r="F815">
        <v>59</v>
      </c>
      <c r="G815" s="2" t="s">
        <v>19</v>
      </c>
      <c r="H815">
        <v>1</v>
      </c>
      <c r="I815">
        <v>500</v>
      </c>
      <c r="J815">
        <v>500</v>
      </c>
      <c r="K815">
        <v>500</v>
      </c>
      <c r="L815">
        <v>2023</v>
      </c>
      <c r="M815">
        <v>695</v>
      </c>
      <c r="N815">
        <v>45150</v>
      </c>
      <c r="O815" t="str">
        <v>August</v>
      </c>
      <c r="P815" t="str">
        <v>CUST695</v>
      </c>
      <c r="Q815" t="str">
        <v>Female</v>
      </c>
      <c r="R815">
        <v>22</v>
      </c>
      <c r="S815" t="str">
        <v>Electronics</v>
      </c>
      <c r="T815">
        <v>3</v>
      </c>
      <c r="U815">
        <v>50</v>
      </c>
      <c r="V815">
        <v>150</v>
      </c>
      <c r="W815">
        <v>150</v>
      </c>
      <c r="X815">
        <v>2023</v>
      </c>
    </row>
    <row r="816" spans="1:24" x14ac:dyDescent="0.35">
      <c r="A816">
        <v>815</v>
      </c>
      <c r="B816" s="1">
        <v>45165</v>
      </c>
      <c r="C816" s="2" t="s">
        <v>37</v>
      </c>
      <c r="D816" s="2" t="s">
        <v>843</v>
      </c>
      <c r="E816" s="2" t="s">
        <v>18</v>
      </c>
      <c r="F816">
        <v>51</v>
      </c>
      <c r="G816" s="2" t="s">
        <v>19</v>
      </c>
      <c r="H816">
        <v>3</v>
      </c>
      <c r="I816">
        <v>25</v>
      </c>
      <c r="J816">
        <v>75</v>
      </c>
      <c r="K816">
        <v>75</v>
      </c>
      <c r="L816">
        <v>2023</v>
      </c>
      <c r="M816">
        <v>696</v>
      </c>
      <c r="N816">
        <v>45175</v>
      </c>
      <c r="O816" t="str">
        <v>September</v>
      </c>
      <c r="P816" t="str">
        <v>CUST696</v>
      </c>
      <c r="Q816" t="str">
        <v>Female</v>
      </c>
      <c r="R816">
        <v>50</v>
      </c>
      <c r="S816" t="str">
        <v>Clothing</v>
      </c>
      <c r="T816">
        <v>4</v>
      </c>
      <c r="U816">
        <v>50</v>
      </c>
      <c r="V816">
        <v>200</v>
      </c>
      <c r="W816">
        <v>200</v>
      </c>
      <c r="X816">
        <v>2023</v>
      </c>
    </row>
    <row r="817" spans="1:24" x14ac:dyDescent="0.35">
      <c r="A817">
        <v>816</v>
      </c>
      <c r="B817" s="1">
        <v>45150</v>
      </c>
      <c r="C817" s="2" t="s">
        <v>37</v>
      </c>
      <c r="D817" s="2" t="s">
        <v>844</v>
      </c>
      <c r="E817" s="2" t="s">
        <v>14</v>
      </c>
      <c r="F817">
        <v>47</v>
      </c>
      <c r="G817" s="2" t="s">
        <v>15</v>
      </c>
      <c r="H817">
        <v>2</v>
      </c>
      <c r="I817">
        <v>500</v>
      </c>
      <c r="J817">
        <v>1000</v>
      </c>
      <c r="K817">
        <v>1000</v>
      </c>
      <c r="L817">
        <v>2023</v>
      </c>
      <c r="M817">
        <v>697</v>
      </c>
      <c r="N817">
        <v>44941</v>
      </c>
      <c r="O817" t="str">
        <v>January</v>
      </c>
      <c r="P817" t="str">
        <v>CUST697</v>
      </c>
      <c r="Q817" t="str">
        <v>Male</v>
      </c>
      <c r="R817">
        <v>53</v>
      </c>
      <c r="S817" t="str">
        <v>Clothing</v>
      </c>
      <c r="T817">
        <v>1</v>
      </c>
      <c r="U817">
        <v>500</v>
      </c>
      <c r="V817">
        <v>500</v>
      </c>
      <c r="W817">
        <v>500</v>
      </c>
      <c r="X817">
        <v>2023</v>
      </c>
    </row>
    <row r="818" spans="1:24" x14ac:dyDescent="0.35">
      <c r="A818">
        <v>817</v>
      </c>
      <c r="B818" s="1">
        <v>45230</v>
      </c>
      <c r="C818" s="2" t="s">
        <v>33</v>
      </c>
      <c r="D818" s="2" t="s">
        <v>845</v>
      </c>
      <c r="E818" s="2" t="s">
        <v>14</v>
      </c>
      <c r="F818">
        <v>30</v>
      </c>
      <c r="G818" s="2" t="s">
        <v>15</v>
      </c>
      <c r="H818">
        <v>4</v>
      </c>
      <c r="I818">
        <v>50</v>
      </c>
      <c r="J818">
        <v>200</v>
      </c>
      <c r="K818">
        <v>200</v>
      </c>
      <c r="L818">
        <v>2023</v>
      </c>
      <c r="M818">
        <v>698</v>
      </c>
      <c r="N818">
        <v>45126</v>
      </c>
      <c r="O818" t="str">
        <v>July</v>
      </c>
      <c r="P818" t="str">
        <v>CUST698</v>
      </c>
      <c r="Q818" t="str">
        <v>Female</v>
      </c>
      <c r="R818">
        <v>64</v>
      </c>
      <c r="S818" t="str">
        <v>Electronics</v>
      </c>
      <c r="T818">
        <v>1</v>
      </c>
      <c r="U818">
        <v>300</v>
      </c>
      <c r="V818">
        <v>300</v>
      </c>
      <c r="W818">
        <v>300</v>
      </c>
      <c r="X818">
        <v>2023</v>
      </c>
    </row>
    <row r="819" spans="1:24" x14ac:dyDescent="0.35">
      <c r="A819">
        <v>818</v>
      </c>
      <c r="B819" s="1">
        <v>45064</v>
      </c>
      <c r="C819" s="2" t="s">
        <v>23</v>
      </c>
      <c r="D819" s="2" t="s">
        <v>846</v>
      </c>
      <c r="E819" s="2" t="s">
        <v>14</v>
      </c>
      <c r="F819">
        <v>30</v>
      </c>
      <c r="G819" s="2" t="s">
        <v>22</v>
      </c>
      <c r="H819">
        <v>1</v>
      </c>
      <c r="I819">
        <v>500</v>
      </c>
      <c r="J819">
        <v>500</v>
      </c>
      <c r="K819">
        <v>500</v>
      </c>
      <c r="L819">
        <v>2023</v>
      </c>
      <c r="M819">
        <v>699</v>
      </c>
      <c r="N819">
        <v>45099</v>
      </c>
      <c r="O819" t="str">
        <v>June</v>
      </c>
      <c r="P819" t="str">
        <v>CUST699</v>
      </c>
      <c r="Q819" t="str">
        <v>Female</v>
      </c>
      <c r="R819">
        <v>37</v>
      </c>
      <c r="S819" t="str">
        <v>Clothing</v>
      </c>
      <c r="T819">
        <v>4</v>
      </c>
      <c r="U819">
        <v>30</v>
      </c>
      <c r="V819">
        <v>120</v>
      </c>
      <c r="W819">
        <v>120</v>
      </c>
      <c r="X819">
        <v>2023</v>
      </c>
    </row>
    <row r="820" spans="1:24" x14ac:dyDescent="0.35">
      <c r="A820">
        <v>819</v>
      </c>
      <c r="B820" s="1">
        <v>45092</v>
      </c>
      <c r="C820" s="2" t="s">
        <v>62</v>
      </c>
      <c r="D820" s="2" t="s">
        <v>847</v>
      </c>
      <c r="E820" s="2" t="s">
        <v>18</v>
      </c>
      <c r="F820">
        <v>35</v>
      </c>
      <c r="G820" s="2" t="s">
        <v>15</v>
      </c>
      <c r="H820">
        <v>2</v>
      </c>
      <c r="I820">
        <v>50</v>
      </c>
      <c r="J820">
        <v>100</v>
      </c>
      <c r="K820">
        <v>100</v>
      </c>
      <c r="L820">
        <v>2023</v>
      </c>
      <c r="M820">
        <v>700</v>
      </c>
      <c r="N820">
        <v>45269</v>
      </c>
      <c r="O820" t="str">
        <v>December</v>
      </c>
      <c r="P820" t="str">
        <v>CUST700</v>
      </c>
      <c r="Q820" t="str">
        <v>Male</v>
      </c>
      <c r="R820">
        <v>36</v>
      </c>
      <c r="S820" t="str">
        <v>Electronics</v>
      </c>
      <c r="T820">
        <v>4</v>
      </c>
      <c r="U820">
        <v>500</v>
      </c>
      <c r="V820">
        <v>2000</v>
      </c>
      <c r="W820">
        <v>2000</v>
      </c>
      <c r="X820">
        <v>2023</v>
      </c>
    </row>
    <row r="821" spans="1:24" x14ac:dyDescent="0.35">
      <c r="A821">
        <v>820</v>
      </c>
      <c r="B821" s="1">
        <v>45052</v>
      </c>
      <c r="C821" s="2" t="s">
        <v>23</v>
      </c>
      <c r="D821" s="2" t="s">
        <v>848</v>
      </c>
      <c r="E821" s="2" t="s">
        <v>14</v>
      </c>
      <c r="F821">
        <v>49</v>
      </c>
      <c r="G821" s="2" t="s">
        <v>22</v>
      </c>
      <c r="H821">
        <v>4</v>
      </c>
      <c r="I821">
        <v>50</v>
      </c>
      <c r="J821">
        <v>200</v>
      </c>
      <c r="K821">
        <v>200</v>
      </c>
      <c r="L821">
        <v>2023</v>
      </c>
      <c r="M821">
        <v>701</v>
      </c>
      <c r="N821">
        <v>45274</v>
      </c>
      <c r="O821" t="str">
        <v>December</v>
      </c>
      <c r="P821" t="str">
        <v>CUST701</v>
      </c>
      <c r="Q821" t="str">
        <v>Female</v>
      </c>
      <c r="R821">
        <v>52</v>
      </c>
      <c r="S821" t="str">
        <v>Beauty</v>
      </c>
      <c r="T821">
        <v>2</v>
      </c>
      <c r="U821">
        <v>30</v>
      </c>
      <c r="V821">
        <v>60</v>
      </c>
      <c r="W821">
        <v>60</v>
      </c>
      <c r="X821">
        <v>2023</v>
      </c>
    </row>
    <row r="822" spans="1:24" x14ac:dyDescent="0.35">
      <c r="A822">
        <v>821</v>
      </c>
      <c r="B822" s="1">
        <v>44971</v>
      </c>
      <c r="C822" s="2" t="s">
        <v>16</v>
      </c>
      <c r="D822" s="2" t="s">
        <v>849</v>
      </c>
      <c r="E822" s="2" t="s">
        <v>14</v>
      </c>
      <c r="F822">
        <v>49</v>
      </c>
      <c r="G822" s="2" t="s">
        <v>22</v>
      </c>
      <c r="H822">
        <v>1</v>
      </c>
      <c r="I822">
        <v>300</v>
      </c>
      <c r="J822">
        <v>300</v>
      </c>
      <c r="K822">
        <v>300</v>
      </c>
      <c r="L822">
        <v>2023</v>
      </c>
      <c r="M822">
        <v>702</v>
      </c>
      <c r="N822">
        <v>45134</v>
      </c>
      <c r="O822" t="str">
        <v>July</v>
      </c>
      <c r="P822" t="str">
        <v>CUST702</v>
      </c>
      <c r="Q822" t="str">
        <v>Female</v>
      </c>
      <c r="R822">
        <v>60</v>
      </c>
      <c r="S822" t="str">
        <v>Clothing</v>
      </c>
      <c r="T822">
        <v>2</v>
      </c>
      <c r="U822">
        <v>300</v>
      </c>
      <c r="V822">
        <v>600</v>
      </c>
      <c r="W822">
        <v>600</v>
      </c>
      <c r="X822">
        <v>2023</v>
      </c>
    </row>
    <row r="823" spans="1:24" x14ac:dyDescent="0.35">
      <c r="A823">
        <v>822</v>
      </c>
      <c r="B823" s="1">
        <v>45069</v>
      </c>
      <c r="C823" s="2" t="s">
        <v>23</v>
      </c>
      <c r="D823" s="2" t="s">
        <v>850</v>
      </c>
      <c r="E823" s="2" t="s">
        <v>18</v>
      </c>
      <c r="F823">
        <v>52</v>
      </c>
      <c r="G823" s="2" t="s">
        <v>15</v>
      </c>
      <c r="H823">
        <v>3</v>
      </c>
      <c r="I823">
        <v>50</v>
      </c>
      <c r="J823">
        <v>150</v>
      </c>
      <c r="K823">
        <v>150</v>
      </c>
      <c r="L823">
        <v>2023</v>
      </c>
      <c r="M823">
        <v>703</v>
      </c>
      <c r="N823">
        <v>45011</v>
      </c>
      <c r="O823" t="str">
        <v>March</v>
      </c>
      <c r="P823" t="str">
        <v>CUST703</v>
      </c>
      <c r="Q823" t="str">
        <v>Male</v>
      </c>
      <c r="R823">
        <v>34</v>
      </c>
      <c r="S823" t="str">
        <v>Electronics</v>
      </c>
      <c r="T823">
        <v>2</v>
      </c>
      <c r="U823">
        <v>50</v>
      </c>
      <c r="V823">
        <v>100</v>
      </c>
      <c r="W823">
        <v>100</v>
      </c>
      <c r="X823">
        <v>2023</v>
      </c>
    </row>
    <row r="824" spans="1:24" x14ac:dyDescent="0.35">
      <c r="A824">
        <v>823</v>
      </c>
      <c r="B824" s="1">
        <v>45157</v>
      </c>
      <c r="C824" s="2" t="s">
        <v>37</v>
      </c>
      <c r="D824" s="2" t="s">
        <v>851</v>
      </c>
      <c r="E824" s="2" t="s">
        <v>18</v>
      </c>
      <c r="F824">
        <v>56</v>
      </c>
      <c r="G824" s="2" t="s">
        <v>22</v>
      </c>
      <c r="H824">
        <v>2</v>
      </c>
      <c r="I824">
        <v>50</v>
      </c>
      <c r="J824">
        <v>100</v>
      </c>
      <c r="K824">
        <v>100</v>
      </c>
      <c r="L824">
        <v>2023</v>
      </c>
      <c r="M824">
        <v>704</v>
      </c>
      <c r="N824">
        <v>45166</v>
      </c>
      <c r="O824" t="str">
        <v>August</v>
      </c>
      <c r="P824" t="str">
        <v>CUST704</v>
      </c>
      <c r="Q824" t="str">
        <v>Female</v>
      </c>
      <c r="R824">
        <v>62</v>
      </c>
      <c r="S824" t="str">
        <v>Clothing</v>
      </c>
      <c r="T824">
        <v>3</v>
      </c>
      <c r="U824">
        <v>30</v>
      </c>
      <c r="V824">
        <v>90</v>
      </c>
      <c r="W824">
        <v>90</v>
      </c>
      <c r="X824">
        <v>2023</v>
      </c>
    </row>
    <row r="825" spans="1:24" x14ac:dyDescent="0.35">
      <c r="A825">
        <v>824</v>
      </c>
      <c r="B825" s="1">
        <v>45051</v>
      </c>
      <c r="C825" s="2" t="s">
        <v>23</v>
      </c>
      <c r="D825" s="2" t="s">
        <v>852</v>
      </c>
      <c r="E825" s="2" t="s">
        <v>14</v>
      </c>
      <c r="F825">
        <v>63</v>
      </c>
      <c r="G825" s="2" t="s">
        <v>19</v>
      </c>
      <c r="H825">
        <v>4</v>
      </c>
      <c r="I825">
        <v>30</v>
      </c>
      <c r="J825">
        <v>120</v>
      </c>
      <c r="K825">
        <v>120</v>
      </c>
      <c r="L825">
        <v>2023</v>
      </c>
      <c r="M825">
        <v>705</v>
      </c>
      <c r="N825">
        <v>44992</v>
      </c>
      <c r="O825" t="str">
        <v>March</v>
      </c>
      <c r="P825" t="str">
        <v>CUST705</v>
      </c>
      <c r="Q825" t="str">
        <v>Male</v>
      </c>
      <c r="R825">
        <v>60</v>
      </c>
      <c r="S825" t="str">
        <v>Electronics</v>
      </c>
      <c r="T825">
        <v>2</v>
      </c>
      <c r="U825">
        <v>25</v>
      </c>
      <c r="V825">
        <v>50</v>
      </c>
      <c r="W825">
        <v>50</v>
      </c>
      <c r="X825">
        <v>2023</v>
      </c>
    </row>
    <row r="826" spans="1:24" x14ac:dyDescent="0.35">
      <c r="A826">
        <v>825</v>
      </c>
      <c r="B826" s="1">
        <v>45164</v>
      </c>
      <c r="C826" s="2" t="s">
        <v>37</v>
      </c>
      <c r="D826" s="2" t="s">
        <v>853</v>
      </c>
      <c r="E826" s="2" t="s">
        <v>18</v>
      </c>
      <c r="F826">
        <v>46</v>
      </c>
      <c r="G826" s="2" t="s">
        <v>15</v>
      </c>
      <c r="H826">
        <v>1</v>
      </c>
      <c r="I826">
        <v>25</v>
      </c>
      <c r="J826">
        <v>25</v>
      </c>
      <c r="K826">
        <v>25</v>
      </c>
      <c r="L826">
        <v>2023</v>
      </c>
      <c r="M826">
        <v>706</v>
      </c>
      <c r="N826">
        <v>45245</v>
      </c>
      <c r="O826" t="str">
        <v>November</v>
      </c>
      <c r="P826" t="str">
        <v>CUST706</v>
      </c>
      <c r="Q826" t="str">
        <v>Male</v>
      </c>
      <c r="R826">
        <v>51</v>
      </c>
      <c r="S826" t="str">
        <v>Electronics</v>
      </c>
      <c r="T826">
        <v>4</v>
      </c>
      <c r="U826">
        <v>25</v>
      </c>
      <c r="V826">
        <v>100</v>
      </c>
      <c r="W826">
        <v>100</v>
      </c>
      <c r="X826">
        <v>2023</v>
      </c>
    </row>
    <row r="827" spans="1:24" x14ac:dyDescent="0.35">
      <c r="A827">
        <v>826</v>
      </c>
      <c r="B827" s="1">
        <v>45218</v>
      </c>
      <c r="C827" s="2" t="s">
        <v>33</v>
      </c>
      <c r="D827" s="2" t="s">
        <v>854</v>
      </c>
      <c r="E827" s="2" t="s">
        <v>18</v>
      </c>
      <c r="F827">
        <v>46</v>
      </c>
      <c r="G827" s="2" t="s">
        <v>19</v>
      </c>
      <c r="H827">
        <v>1</v>
      </c>
      <c r="I827">
        <v>300</v>
      </c>
      <c r="J827">
        <v>300</v>
      </c>
      <c r="K827">
        <v>300</v>
      </c>
      <c r="L827">
        <v>2023</v>
      </c>
      <c r="M827">
        <v>707</v>
      </c>
      <c r="N827">
        <v>45200</v>
      </c>
      <c r="O827" t="str">
        <v>October</v>
      </c>
      <c r="P827" t="str">
        <v>CUST707</v>
      </c>
      <c r="Q827" t="str">
        <v>Female</v>
      </c>
      <c r="R827">
        <v>26</v>
      </c>
      <c r="S827" t="str">
        <v>Clothing</v>
      </c>
      <c r="T827">
        <v>1</v>
      </c>
      <c r="U827">
        <v>500</v>
      </c>
      <c r="V827">
        <v>500</v>
      </c>
      <c r="W827">
        <v>500</v>
      </c>
      <c r="X827">
        <v>2023</v>
      </c>
    </row>
    <row r="828" spans="1:24" x14ac:dyDescent="0.35">
      <c r="A828">
        <v>827</v>
      </c>
      <c r="B828" s="1">
        <v>45239</v>
      </c>
      <c r="C828" s="2" t="s">
        <v>12</v>
      </c>
      <c r="D828" s="2" t="s">
        <v>855</v>
      </c>
      <c r="E828" s="2" t="s">
        <v>14</v>
      </c>
      <c r="F828">
        <v>61</v>
      </c>
      <c r="G828" s="2" t="s">
        <v>15</v>
      </c>
      <c r="H828">
        <v>3</v>
      </c>
      <c r="I828">
        <v>300</v>
      </c>
      <c r="J828">
        <v>900</v>
      </c>
      <c r="K828">
        <v>900</v>
      </c>
      <c r="L828">
        <v>2023</v>
      </c>
      <c r="M828">
        <v>708</v>
      </c>
      <c r="N828">
        <v>44940</v>
      </c>
      <c r="O828" t="str">
        <v>January</v>
      </c>
      <c r="P828" t="str">
        <v>CUST708</v>
      </c>
      <c r="Q828" t="str">
        <v>Female</v>
      </c>
      <c r="R828">
        <v>43</v>
      </c>
      <c r="S828" t="str">
        <v>Beauty</v>
      </c>
      <c r="T828">
        <v>3</v>
      </c>
      <c r="U828">
        <v>300</v>
      </c>
      <c r="V828">
        <v>900</v>
      </c>
      <c r="W828">
        <v>900</v>
      </c>
      <c r="X828">
        <v>2023</v>
      </c>
    </row>
    <row r="829" spans="1:24" x14ac:dyDescent="0.35">
      <c r="A829">
        <v>828</v>
      </c>
      <c r="B829" s="1">
        <v>45269</v>
      </c>
      <c r="C829" s="2" t="s">
        <v>31</v>
      </c>
      <c r="D829" s="2" t="s">
        <v>856</v>
      </c>
      <c r="E829" s="2" t="s">
        <v>18</v>
      </c>
      <c r="F829">
        <v>33</v>
      </c>
      <c r="G829" s="2" t="s">
        <v>22</v>
      </c>
      <c r="H829">
        <v>4</v>
      </c>
      <c r="I829">
        <v>300</v>
      </c>
      <c r="J829">
        <v>1200</v>
      </c>
      <c r="K829">
        <v>1200</v>
      </c>
      <c r="L829">
        <v>2023</v>
      </c>
      <c r="M829">
        <v>709</v>
      </c>
      <c r="N829">
        <v>45128</v>
      </c>
      <c r="O829" t="str">
        <v>July</v>
      </c>
      <c r="P829" t="str">
        <v>CUST709</v>
      </c>
      <c r="Q829" t="str">
        <v>Female</v>
      </c>
      <c r="R829">
        <v>19</v>
      </c>
      <c r="S829" t="str">
        <v>Electronics</v>
      </c>
      <c r="T829">
        <v>2</v>
      </c>
      <c r="U829">
        <v>500</v>
      </c>
      <c r="V829">
        <v>1000</v>
      </c>
      <c r="W829">
        <v>1000</v>
      </c>
      <c r="X829">
        <v>2023</v>
      </c>
    </row>
    <row r="830" spans="1:24" x14ac:dyDescent="0.35">
      <c r="A830">
        <v>829</v>
      </c>
      <c r="B830" s="1">
        <v>45121</v>
      </c>
      <c r="C830" s="2" t="s">
        <v>70</v>
      </c>
      <c r="D830" s="2" t="s">
        <v>857</v>
      </c>
      <c r="E830" s="2" t="s">
        <v>14</v>
      </c>
      <c r="F830">
        <v>61</v>
      </c>
      <c r="G830" s="2" t="s">
        <v>15</v>
      </c>
      <c r="H830">
        <v>3</v>
      </c>
      <c r="I830">
        <v>30</v>
      </c>
      <c r="J830">
        <v>90</v>
      </c>
      <c r="K830">
        <v>90</v>
      </c>
      <c r="L830">
        <v>2023</v>
      </c>
      <c r="M830">
        <v>710</v>
      </c>
      <c r="N830">
        <v>45230</v>
      </c>
      <c r="O830" t="str">
        <v>October</v>
      </c>
      <c r="P830" t="str">
        <v>CUST710</v>
      </c>
      <c r="Q830" t="str">
        <v>Female</v>
      </c>
      <c r="R830">
        <v>26</v>
      </c>
      <c r="S830" t="str">
        <v>Electronics</v>
      </c>
      <c r="T830">
        <v>3</v>
      </c>
      <c r="U830">
        <v>500</v>
      </c>
      <c r="V830">
        <v>1500</v>
      </c>
      <c r="W830">
        <v>1500</v>
      </c>
      <c r="X830">
        <v>2023</v>
      </c>
    </row>
    <row r="831" spans="1:24" x14ac:dyDescent="0.35">
      <c r="A831">
        <v>830</v>
      </c>
      <c r="B831" s="1">
        <v>45099</v>
      </c>
      <c r="C831" s="2" t="s">
        <v>62</v>
      </c>
      <c r="D831" s="2" t="s">
        <v>858</v>
      </c>
      <c r="E831" s="2" t="s">
        <v>18</v>
      </c>
      <c r="F831">
        <v>64</v>
      </c>
      <c r="G831" s="2" t="s">
        <v>19</v>
      </c>
      <c r="H831">
        <v>3</v>
      </c>
      <c r="I831">
        <v>50</v>
      </c>
      <c r="J831">
        <v>150</v>
      </c>
      <c r="K831">
        <v>150</v>
      </c>
      <c r="L831">
        <v>2023</v>
      </c>
      <c r="M831">
        <v>711</v>
      </c>
      <c r="N831">
        <v>45215</v>
      </c>
      <c r="O831" t="str">
        <v>October</v>
      </c>
      <c r="P831" t="str">
        <v>CUST711</v>
      </c>
      <c r="Q831" t="str">
        <v>Male</v>
      </c>
      <c r="R831">
        <v>26</v>
      </c>
      <c r="S831" t="str">
        <v>Electronics</v>
      </c>
      <c r="T831">
        <v>3</v>
      </c>
      <c r="U831">
        <v>500</v>
      </c>
      <c r="V831">
        <v>1500</v>
      </c>
      <c r="W831">
        <v>1500</v>
      </c>
      <c r="X831">
        <v>2023</v>
      </c>
    </row>
    <row r="832" spans="1:24" x14ac:dyDescent="0.35">
      <c r="A832">
        <v>831</v>
      </c>
      <c r="B832" s="1">
        <v>44941</v>
      </c>
      <c r="C832" s="2" t="s">
        <v>20</v>
      </c>
      <c r="D832" s="2" t="s">
        <v>859</v>
      </c>
      <c r="E832" s="2" t="s">
        <v>14</v>
      </c>
      <c r="F832">
        <v>27</v>
      </c>
      <c r="G832" s="2" t="s">
        <v>22</v>
      </c>
      <c r="H832">
        <v>4</v>
      </c>
      <c r="I832">
        <v>25</v>
      </c>
      <c r="J832">
        <v>100</v>
      </c>
      <c r="K832">
        <v>100</v>
      </c>
      <c r="L832">
        <v>2023</v>
      </c>
      <c r="M832">
        <v>712</v>
      </c>
      <c r="N832">
        <v>45266</v>
      </c>
      <c r="O832" t="str">
        <v>December</v>
      </c>
      <c r="P832" t="str">
        <v>CUST712</v>
      </c>
      <c r="Q832" t="str">
        <v>Female</v>
      </c>
      <c r="R832">
        <v>57</v>
      </c>
      <c r="S832" t="str">
        <v>Beauty</v>
      </c>
      <c r="T832">
        <v>2</v>
      </c>
      <c r="U832">
        <v>25</v>
      </c>
      <c r="V832">
        <v>50</v>
      </c>
      <c r="W832">
        <v>50</v>
      </c>
      <c r="X832">
        <v>2023</v>
      </c>
    </row>
    <row r="833" spans="1:24" x14ac:dyDescent="0.35">
      <c r="A833">
        <v>832</v>
      </c>
      <c r="B833" s="1">
        <v>45180</v>
      </c>
      <c r="C833" s="2" t="s">
        <v>44</v>
      </c>
      <c r="D833" s="2" t="s">
        <v>860</v>
      </c>
      <c r="E833" s="2" t="s">
        <v>14</v>
      </c>
      <c r="F833">
        <v>47</v>
      </c>
      <c r="G833" s="2" t="s">
        <v>15</v>
      </c>
      <c r="H833">
        <v>4</v>
      </c>
      <c r="I833">
        <v>500</v>
      </c>
      <c r="J833">
        <v>2000</v>
      </c>
      <c r="K833">
        <v>2000</v>
      </c>
      <c r="L833">
        <v>2023</v>
      </c>
      <c r="M833">
        <v>713</v>
      </c>
      <c r="N833">
        <v>44940</v>
      </c>
      <c r="O833" t="str">
        <v>January</v>
      </c>
      <c r="P833" t="str">
        <v>CUST713</v>
      </c>
      <c r="Q833" t="str">
        <v>Male</v>
      </c>
      <c r="R833">
        <v>34</v>
      </c>
      <c r="S833" t="str">
        <v>Beauty</v>
      </c>
      <c r="T833">
        <v>3</v>
      </c>
      <c r="U833">
        <v>25</v>
      </c>
      <c r="V833">
        <v>75</v>
      </c>
      <c r="W833">
        <v>75</v>
      </c>
      <c r="X833">
        <v>2023</v>
      </c>
    </row>
    <row r="834" spans="1:24" x14ac:dyDescent="0.35">
      <c r="A834">
        <v>833</v>
      </c>
      <c r="B834" s="1">
        <v>45093</v>
      </c>
      <c r="C834" s="2" t="s">
        <v>62</v>
      </c>
      <c r="D834" s="2" t="s">
        <v>861</v>
      </c>
      <c r="E834" s="2" t="s">
        <v>14</v>
      </c>
      <c r="F834">
        <v>42</v>
      </c>
      <c r="G834" s="2" t="s">
        <v>15</v>
      </c>
      <c r="H834">
        <v>4</v>
      </c>
      <c r="I834">
        <v>50</v>
      </c>
      <c r="J834">
        <v>200</v>
      </c>
      <c r="K834">
        <v>200</v>
      </c>
      <c r="L834">
        <v>2023</v>
      </c>
      <c r="M834">
        <v>714</v>
      </c>
      <c r="N834">
        <v>44969</v>
      </c>
      <c r="O834" t="str">
        <v>February</v>
      </c>
      <c r="P834" t="str">
        <v>CUST714</v>
      </c>
      <c r="Q834" t="str">
        <v>Female</v>
      </c>
      <c r="R834">
        <v>18</v>
      </c>
      <c r="S834" t="str">
        <v>Clothing</v>
      </c>
      <c r="T834">
        <v>1</v>
      </c>
      <c r="U834">
        <v>500</v>
      </c>
      <c r="V834">
        <v>500</v>
      </c>
      <c r="W834">
        <v>500</v>
      </c>
      <c r="X834">
        <v>2023</v>
      </c>
    </row>
    <row r="835" spans="1:24" x14ac:dyDescent="0.35">
      <c r="A835">
        <v>834</v>
      </c>
      <c r="B835" s="1">
        <v>45020</v>
      </c>
      <c r="C835" s="2" t="s">
        <v>26</v>
      </c>
      <c r="D835" s="2" t="s">
        <v>862</v>
      </c>
      <c r="E835" s="2" t="s">
        <v>18</v>
      </c>
      <c r="F835">
        <v>56</v>
      </c>
      <c r="G835" s="2" t="s">
        <v>15</v>
      </c>
      <c r="H835">
        <v>2</v>
      </c>
      <c r="I835">
        <v>30</v>
      </c>
      <c r="J835">
        <v>60</v>
      </c>
      <c r="K835">
        <v>60</v>
      </c>
      <c r="L835">
        <v>2023</v>
      </c>
      <c r="M835">
        <v>715</v>
      </c>
      <c r="N835">
        <v>45256</v>
      </c>
      <c r="O835" t="str">
        <v>November</v>
      </c>
      <c r="P835" t="str">
        <v>CUST715</v>
      </c>
      <c r="Q835" t="str">
        <v>Female</v>
      </c>
      <c r="R835">
        <v>42</v>
      </c>
      <c r="S835" t="str">
        <v>Beauty</v>
      </c>
      <c r="T835">
        <v>4</v>
      </c>
      <c r="U835">
        <v>25</v>
      </c>
      <c r="V835">
        <v>100</v>
      </c>
      <c r="W835">
        <v>100</v>
      </c>
      <c r="X835">
        <v>2023</v>
      </c>
    </row>
    <row r="836" spans="1:24" x14ac:dyDescent="0.35">
      <c r="A836">
        <v>835</v>
      </c>
      <c r="B836" s="1">
        <v>45176</v>
      </c>
      <c r="C836" s="2" t="s">
        <v>44</v>
      </c>
      <c r="D836" s="2" t="s">
        <v>863</v>
      </c>
      <c r="E836" s="2" t="s">
        <v>14</v>
      </c>
      <c r="F836">
        <v>37</v>
      </c>
      <c r="G836" s="2" t="s">
        <v>19</v>
      </c>
      <c r="H836">
        <v>4</v>
      </c>
      <c r="I836">
        <v>50</v>
      </c>
      <c r="J836">
        <v>200</v>
      </c>
      <c r="K836">
        <v>200</v>
      </c>
      <c r="L836">
        <v>2023</v>
      </c>
      <c r="M836">
        <v>716</v>
      </c>
      <c r="N836">
        <v>45146</v>
      </c>
      <c r="O836" t="str">
        <v>August</v>
      </c>
      <c r="P836" t="str">
        <v>CUST716</v>
      </c>
      <c r="Q836" t="str">
        <v>Female</v>
      </c>
      <c r="R836">
        <v>60</v>
      </c>
      <c r="S836" t="str">
        <v>Clothing</v>
      </c>
      <c r="T836">
        <v>4</v>
      </c>
      <c r="U836">
        <v>300</v>
      </c>
      <c r="V836">
        <v>1200</v>
      </c>
      <c r="W836">
        <v>1200</v>
      </c>
      <c r="X836">
        <v>2023</v>
      </c>
    </row>
    <row r="837" spans="1:24" x14ac:dyDescent="0.35">
      <c r="A837">
        <v>836</v>
      </c>
      <c r="B837" s="1">
        <v>45035</v>
      </c>
      <c r="C837" s="2" t="s">
        <v>26</v>
      </c>
      <c r="D837" s="2" t="s">
        <v>864</v>
      </c>
      <c r="E837" s="2" t="s">
        <v>18</v>
      </c>
      <c r="F837">
        <v>22</v>
      </c>
      <c r="G837" s="2" t="s">
        <v>19</v>
      </c>
      <c r="H837">
        <v>1</v>
      </c>
      <c r="I837">
        <v>50</v>
      </c>
      <c r="J837">
        <v>50</v>
      </c>
      <c r="K837">
        <v>50</v>
      </c>
      <c r="L837">
        <v>2023</v>
      </c>
      <c r="M837">
        <v>717</v>
      </c>
      <c r="N837">
        <v>44996</v>
      </c>
      <c r="O837" t="str">
        <v>March</v>
      </c>
      <c r="P837" t="str">
        <v>CUST717</v>
      </c>
      <c r="Q837" t="str">
        <v>Male</v>
      </c>
      <c r="R837">
        <v>57</v>
      </c>
      <c r="S837" t="str">
        <v>Clothing</v>
      </c>
      <c r="T837">
        <v>1</v>
      </c>
      <c r="U837">
        <v>500</v>
      </c>
      <c r="V837">
        <v>500</v>
      </c>
      <c r="W837">
        <v>500</v>
      </c>
      <c r="X837">
        <v>2023</v>
      </c>
    </row>
    <row r="838" spans="1:24" x14ac:dyDescent="0.35">
      <c r="A838">
        <v>837</v>
      </c>
      <c r="B838" s="1">
        <v>45108</v>
      </c>
      <c r="C838" s="2" t="s">
        <v>70</v>
      </c>
      <c r="D838" s="2" t="s">
        <v>865</v>
      </c>
      <c r="E838" s="2" t="s">
        <v>14</v>
      </c>
      <c r="F838">
        <v>18</v>
      </c>
      <c r="G838" s="2" t="s">
        <v>15</v>
      </c>
      <c r="H838">
        <v>3</v>
      </c>
      <c r="I838">
        <v>30</v>
      </c>
      <c r="J838">
        <v>90</v>
      </c>
      <c r="K838">
        <v>90</v>
      </c>
      <c r="L838">
        <v>2023</v>
      </c>
      <c r="M838">
        <v>718</v>
      </c>
      <c r="N838">
        <v>45163</v>
      </c>
      <c r="O838" t="str">
        <v>August</v>
      </c>
      <c r="P838" t="str">
        <v>CUST718</v>
      </c>
      <c r="Q838" t="str">
        <v>Female</v>
      </c>
      <c r="R838">
        <v>59</v>
      </c>
      <c r="S838" t="str">
        <v>Beauty</v>
      </c>
      <c r="T838">
        <v>3</v>
      </c>
      <c r="U838">
        <v>25</v>
      </c>
      <c r="V838">
        <v>75</v>
      </c>
      <c r="W838">
        <v>75</v>
      </c>
      <c r="X838">
        <v>2023</v>
      </c>
    </row>
    <row r="839" spans="1:24" x14ac:dyDescent="0.35">
      <c r="A839">
        <v>838</v>
      </c>
      <c r="B839" s="1">
        <v>45059</v>
      </c>
      <c r="C839" s="2" t="s">
        <v>23</v>
      </c>
      <c r="D839" s="2" t="s">
        <v>866</v>
      </c>
      <c r="E839" s="2" t="s">
        <v>14</v>
      </c>
      <c r="F839">
        <v>47</v>
      </c>
      <c r="G839" s="2" t="s">
        <v>22</v>
      </c>
      <c r="H839">
        <v>2</v>
      </c>
      <c r="I839">
        <v>300</v>
      </c>
      <c r="J839">
        <v>600</v>
      </c>
      <c r="K839">
        <v>600</v>
      </c>
      <c r="L839">
        <v>2023</v>
      </c>
      <c r="M839">
        <v>719</v>
      </c>
      <c r="N839">
        <v>45020</v>
      </c>
      <c r="O839" t="str">
        <v>April</v>
      </c>
      <c r="P839" t="str">
        <v>CUST719</v>
      </c>
      <c r="Q839" t="str">
        <v>Female</v>
      </c>
      <c r="R839">
        <v>42</v>
      </c>
      <c r="S839" t="str">
        <v>Clothing</v>
      </c>
      <c r="T839">
        <v>2</v>
      </c>
      <c r="U839">
        <v>30</v>
      </c>
      <c r="V839">
        <v>60</v>
      </c>
      <c r="W839">
        <v>60</v>
      </c>
      <c r="X839">
        <v>2023</v>
      </c>
    </row>
    <row r="840" spans="1:24" x14ac:dyDescent="0.35">
      <c r="A840">
        <v>839</v>
      </c>
      <c r="B840" s="1">
        <v>45101</v>
      </c>
      <c r="C840" s="2" t="s">
        <v>62</v>
      </c>
      <c r="D840" s="2" t="s">
        <v>867</v>
      </c>
      <c r="E840" s="2" t="s">
        <v>18</v>
      </c>
      <c r="F840">
        <v>20</v>
      </c>
      <c r="G840" s="2" t="s">
        <v>22</v>
      </c>
      <c r="H840">
        <v>4</v>
      </c>
      <c r="I840">
        <v>300</v>
      </c>
      <c r="J840">
        <v>1200</v>
      </c>
      <c r="K840">
        <v>1200</v>
      </c>
      <c r="L840">
        <v>2023</v>
      </c>
      <c r="M840">
        <v>720</v>
      </c>
      <c r="N840">
        <v>44952</v>
      </c>
      <c r="O840" t="str">
        <v>January</v>
      </c>
      <c r="P840" t="str">
        <v>CUST720</v>
      </c>
      <c r="Q840" t="str">
        <v>Female</v>
      </c>
      <c r="R840">
        <v>56</v>
      </c>
      <c r="S840" t="str">
        <v>Beauty</v>
      </c>
      <c r="T840">
        <v>3</v>
      </c>
      <c r="U840">
        <v>500</v>
      </c>
      <c r="V840">
        <v>1500</v>
      </c>
      <c r="W840">
        <v>1500</v>
      </c>
      <c r="X840">
        <v>2023</v>
      </c>
    </row>
    <row r="841" spans="1:24" x14ac:dyDescent="0.35">
      <c r="A841">
        <v>840</v>
      </c>
      <c r="B841" s="1">
        <v>45070</v>
      </c>
      <c r="C841" s="2" t="s">
        <v>23</v>
      </c>
      <c r="D841" s="2" t="s">
        <v>868</v>
      </c>
      <c r="E841" s="2" t="s">
        <v>14</v>
      </c>
      <c r="F841">
        <v>62</v>
      </c>
      <c r="G841" s="2" t="s">
        <v>19</v>
      </c>
      <c r="H841">
        <v>2</v>
      </c>
      <c r="I841">
        <v>25</v>
      </c>
      <c r="J841">
        <v>50</v>
      </c>
      <c r="K841">
        <v>50</v>
      </c>
      <c r="L841">
        <v>2023</v>
      </c>
      <c r="M841">
        <v>721</v>
      </c>
      <c r="N841">
        <v>45060</v>
      </c>
      <c r="O841" t="str">
        <v>May</v>
      </c>
      <c r="P841" t="str">
        <v>CUST721</v>
      </c>
      <c r="Q841" t="str">
        <v>Female</v>
      </c>
      <c r="R841">
        <v>52</v>
      </c>
      <c r="S841" t="str">
        <v>Clothing</v>
      </c>
      <c r="T841">
        <v>1</v>
      </c>
      <c r="U841">
        <v>500</v>
      </c>
      <c r="V841">
        <v>500</v>
      </c>
      <c r="W841">
        <v>500</v>
      </c>
      <c r="X841">
        <v>2023</v>
      </c>
    </row>
    <row r="842" spans="1:24" x14ac:dyDescent="0.35">
      <c r="A842">
        <v>841</v>
      </c>
      <c r="B842" s="1">
        <v>45232</v>
      </c>
      <c r="C842" s="2" t="s">
        <v>12</v>
      </c>
      <c r="D842" s="2" t="s">
        <v>869</v>
      </c>
      <c r="E842" s="2" t="s">
        <v>14</v>
      </c>
      <c r="F842">
        <v>31</v>
      </c>
      <c r="G842" s="2" t="s">
        <v>22</v>
      </c>
      <c r="H842">
        <v>4</v>
      </c>
      <c r="I842">
        <v>25</v>
      </c>
      <c r="J842">
        <v>100</v>
      </c>
      <c r="K842">
        <v>100</v>
      </c>
      <c r="L842">
        <v>2023</v>
      </c>
      <c r="M842">
        <v>722</v>
      </c>
      <c r="N842">
        <v>45121</v>
      </c>
      <c r="O842" t="str">
        <v>July</v>
      </c>
      <c r="P842" t="str">
        <v>CUST722</v>
      </c>
      <c r="Q842" t="str">
        <v>Male</v>
      </c>
      <c r="R842">
        <v>20</v>
      </c>
      <c r="S842" t="str">
        <v>Beauty</v>
      </c>
      <c r="T842">
        <v>3</v>
      </c>
      <c r="U842">
        <v>300</v>
      </c>
      <c r="V842">
        <v>900</v>
      </c>
      <c r="W842">
        <v>900</v>
      </c>
      <c r="X842">
        <v>2023</v>
      </c>
    </row>
    <row r="843" spans="1:24" x14ac:dyDescent="0.35">
      <c r="A843">
        <v>842</v>
      </c>
      <c r="B843" s="1">
        <v>45286</v>
      </c>
      <c r="C843" s="2" t="s">
        <v>31</v>
      </c>
      <c r="D843" s="2" t="s">
        <v>870</v>
      </c>
      <c r="E843" s="2" t="s">
        <v>18</v>
      </c>
      <c r="F843">
        <v>47</v>
      </c>
      <c r="G843" s="2" t="s">
        <v>19</v>
      </c>
      <c r="H843">
        <v>2</v>
      </c>
      <c r="I843">
        <v>300</v>
      </c>
      <c r="J843">
        <v>600</v>
      </c>
      <c r="K843">
        <v>600</v>
      </c>
      <c r="L843">
        <v>2023</v>
      </c>
      <c r="M843">
        <v>723</v>
      </c>
      <c r="N843">
        <v>45094</v>
      </c>
      <c r="O843" t="str">
        <v>June</v>
      </c>
      <c r="P843" t="str">
        <v>CUST723</v>
      </c>
      <c r="Q843" t="str">
        <v>Female</v>
      </c>
      <c r="R843">
        <v>54</v>
      </c>
      <c r="S843" t="str">
        <v>Beauty</v>
      </c>
      <c r="T843">
        <v>4</v>
      </c>
      <c r="U843">
        <v>50</v>
      </c>
      <c r="V843">
        <v>200</v>
      </c>
      <c r="W843">
        <v>200</v>
      </c>
      <c r="X843">
        <v>2023</v>
      </c>
    </row>
    <row r="844" spans="1:24" x14ac:dyDescent="0.35">
      <c r="A844">
        <v>843</v>
      </c>
      <c r="B844" s="1">
        <v>45068</v>
      </c>
      <c r="C844" s="2" t="s">
        <v>23</v>
      </c>
      <c r="D844" s="2" t="s">
        <v>871</v>
      </c>
      <c r="E844" s="2" t="s">
        <v>14</v>
      </c>
      <c r="F844">
        <v>21</v>
      </c>
      <c r="G844" s="2" t="s">
        <v>15</v>
      </c>
      <c r="H844">
        <v>3</v>
      </c>
      <c r="I844">
        <v>500</v>
      </c>
      <c r="J844">
        <v>1500</v>
      </c>
      <c r="K844">
        <v>1500</v>
      </c>
      <c r="L844">
        <v>2023</v>
      </c>
      <c r="M844">
        <v>724</v>
      </c>
      <c r="N844">
        <v>45035</v>
      </c>
      <c r="O844" t="str">
        <v>April</v>
      </c>
      <c r="P844" t="str">
        <v>CUST724</v>
      </c>
      <c r="Q844" t="str">
        <v>Male</v>
      </c>
      <c r="R844">
        <v>61</v>
      </c>
      <c r="S844" t="str">
        <v>Clothing</v>
      </c>
      <c r="T844">
        <v>3</v>
      </c>
      <c r="U844">
        <v>50</v>
      </c>
      <c r="V844">
        <v>150</v>
      </c>
      <c r="W844">
        <v>150</v>
      </c>
      <c r="X844">
        <v>2023</v>
      </c>
    </row>
    <row r="845" spans="1:24" x14ac:dyDescent="0.35">
      <c r="A845">
        <v>844</v>
      </c>
      <c r="B845" s="1">
        <v>45211</v>
      </c>
      <c r="C845" s="2" t="s">
        <v>33</v>
      </c>
      <c r="D845" s="2" t="s">
        <v>872</v>
      </c>
      <c r="E845" s="2" t="s">
        <v>14</v>
      </c>
      <c r="F845">
        <v>35</v>
      </c>
      <c r="G845" s="2" t="s">
        <v>19</v>
      </c>
      <c r="H845">
        <v>3</v>
      </c>
      <c r="I845">
        <v>50</v>
      </c>
      <c r="J845">
        <v>150</v>
      </c>
      <c r="K845">
        <v>150</v>
      </c>
      <c r="L845">
        <v>2023</v>
      </c>
      <c r="M845">
        <v>725</v>
      </c>
      <c r="N845">
        <v>45159</v>
      </c>
      <c r="O845" t="str">
        <v>August</v>
      </c>
      <c r="P845" t="str">
        <v>CUST725</v>
      </c>
      <c r="Q845" t="str">
        <v>Male</v>
      </c>
      <c r="R845">
        <v>61</v>
      </c>
      <c r="S845" t="str">
        <v>Electronics</v>
      </c>
      <c r="T845">
        <v>1</v>
      </c>
      <c r="U845">
        <v>300</v>
      </c>
      <c r="V845">
        <v>300</v>
      </c>
      <c r="W845">
        <v>300</v>
      </c>
      <c r="X845">
        <v>2023</v>
      </c>
    </row>
    <row r="846" spans="1:24" x14ac:dyDescent="0.35">
      <c r="A846">
        <v>845</v>
      </c>
      <c r="B846" s="1">
        <v>44932</v>
      </c>
      <c r="C846" s="2" t="s">
        <v>20</v>
      </c>
      <c r="D846" s="2" t="s">
        <v>873</v>
      </c>
      <c r="E846" s="2" t="s">
        <v>14</v>
      </c>
      <c r="F846">
        <v>54</v>
      </c>
      <c r="G846" s="2" t="s">
        <v>19</v>
      </c>
      <c r="H846">
        <v>1</v>
      </c>
      <c r="I846">
        <v>500</v>
      </c>
      <c r="J846">
        <v>500</v>
      </c>
      <c r="K846">
        <v>500</v>
      </c>
      <c r="L846">
        <v>2023</v>
      </c>
      <c r="M846">
        <v>726</v>
      </c>
      <c r="N846">
        <v>45094</v>
      </c>
      <c r="O846" t="str">
        <v>June</v>
      </c>
      <c r="P846" t="str">
        <v>CUST726</v>
      </c>
      <c r="Q846" t="str">
        <v>Male</v>
      </c>
      <c r="R846">
        <v>47</v>
      </c>
      <c r="S846" t="str">
        <v>Clothing</v>
      </c>
      <c r="T846">
        <v>4</v>
      </c>
      <c r="U846">
        <v>300</v>
      </c>
      <c r="V846">
        <v>1200</v>
      </c>
      <c r="W846">
        <v>1200</v>
      </c>
      <c r="X846">
        <v>2023</v>
      </c>
    </row>
    <row r="847" spans="1:24" x14ac:dyDescent="0.35">
      <c r="A847">
        <v>846</v>
      </c>
      <c r="B847" s="1">
        <v>45191</v>
      </c>
      <c r="C847" s="2" t="s">
        <v>44</v>
      </c>
      <c r="D847" s="2" t="s">
        <v>874</v>
      </c>
      <c r="E847" s="2" t="s">
        <v>14</v>
      </c>
      <c r="F847">
        <v>42</v>
      </c>
      <c r="G847" s="2" t="s">
        <v>15</v>
      </c>
      <c r="H847">
        <v>1</v>
      </c>
      <c r="I847">
        <v>50</v>
      </c>
      <c r="J847">
        <v>50</v>
      </c>
      <c r="K847">
        <v>50</v>
      </c>
      <c r="L847">
        <v>2023</v>
      </c>
      <c r="M847">
        <v>727</v>
      </c>
      <c r="N847">
        <v>45099</v>
      </c>
      <c r="O847" t="str">
        <v>June</v>
      </c>
      <c r="P847" t="str">
        <v>CUST727</v>
      </c>
      <c r="Q847" t="str">
        <v>Male</v>
      </c>
      <c r="R847">
        <v>55</v>
      </c>
      <c r="S847" t="str">
        <v>Beauty</v>
      </c>
      <c r="T847">
        <v>3</v>
      </c>
      <c r="U847">
        <v>300</v>
      </c>
      <c r="V847">
        <v>900</v>
      </c>
      <c r="W847">
        <v>900</v>
      </c>
      <c r="X847">
        <v>2023</v>
      </c>
    </row>
    <row r="848" spans="1:24" x14ac:dyDescent="0.35">
      <c r="A848">
        <v>847</v>
      </c>
      <c r="B848" s="1">
        <v>45024</v>
      </c>
      <c r="C848" s="2" t="s">
        <v>26</v>
      </c>
      <c r="D848" s="2" t="s">
        <v>875</v>
      </c>
      <c r="E848" s="2" t="s">
        <v>18</v>
      </c>
      <c r="F848">
        <v>18</v>
      </c>
      <c r="G848" s="2" t="s">
        <v>22</v>
      </c>
      <c r="H848">
        <v>4</v>
      </c>
      <c r="I848">
        <v>300</v>
      </c>
      <c r="J848">
        <v>1200</v>
      </c>
      <c r="K848">
        <v>1200</v>
      </c>
      <c r="L848">
        <v>2023</v>
      </c>
      <c r="M848">
        <v>728</v>
      </c>
      <c r="N848">
        <v>45121</v>
      </c>
      <c r="O848" t="str">
        <v>July</v>
      </c>
      <c r="P848" t="str">
        <v>CUST728</v>
      </c>
      <c r="Q848" t="str">
        <v>Male</v>
      </c>
      <c r="R848">
        <v>51</v>
      </c>
      <c r="S848" t="str">
        <v>Electronics</v>
      </c>
      <c r="T848">
        <v>3</v>
      </c>
      <c r="U848">
        <v>50</v>
      </c>
      <c r="V848">
        <v>150</v>
      </c>
      <c r="W848">
        <v>150</v>
      </c>
      <c r="X848">
        <v>2023</v>
      </c>
    </row>
    <row r="849" spans="1:24" x14ac:dyDescent="0.35">
      <c r="A849">
        <v>848</v>
      </c>
      <c r="B849" s="1">
        <v>44970</v>
      </c>
      <c r="C849" s="2" t="s">
        <v>16</v>
      </c>
      <c r="D849" s="2" t="s">
        <v>876</v>
      </c>
      <c r="E849" s="2" t="s">
        <v>18</v>
      </c>
      <c r="F849">
        <v>63</v>
      </c>
      <c r="G849" s="2" t="s">
        <v>19</v>
      </c>
      <c r="H849">
        <v>3</v>
      </c>
      <c r="I849">
        <v>25</v>
      </c>
      <c r="J849">
        <v>75</v>
      </c>
      <c r="K849">
        <v>75</v>
      </c>
      <c r="L849">
        <v>2023</v>
      </c>
      <c r="M849">
        <v>729</v>
      </c>
      <c r="N849">
        <v>45069</v>
      </c>
      <c r="O849" t="str">
        <v>May</v>
      </c>
      <c r="P849" t="str">
        <v>CUST729</v>
      </c>
      <c r="Q849" t="str">
        <v>Male</v>
      </c>
      <c r="R849">
        <v>29</v>
      </c>
      <c r="S849" t="str">
        <v>Clothing</v>
      </c>
      <c r="T849">
        <v>4</v>
      </c>
      <c r="U849">
        <v>300</v>
      </c>
      <c r="V849">
        <v>1200</v>
      </c>
      <c r="W849">
        <v>1200</v>
      </c>
      <c r="X849">
        <v>2023</v>
      </c>
    </row>
    <row r="850" spans="1:24" x14ac:dyDescent="0.35">
      <c r="A850">
        <v>849</v>
      </c>
      <c r="B850" s="1">
        <v>45050</v>
      </c>
      <c r="C850" s="2" t="s">
        <v>23</v>
      </c>
      <c r="D850" s="2" t="s">
        <v>877</v>
      </c>
      <c r="E850" s="2" t="s">
        <v>14</v>
      </c>
      <c r="F850">
        <v>32</v>
      </c>
      <c r="G850" s="2" t="s">
        <v>19</v>
      </c>
      <c r="H850">
        <v>2</v>
      </c>
      <c r="I850">
        <v>25</v>
      </c>
      <c r="J850">
        <v>50</v>
      </c>
      <c r="K850">
        <v>50</v>
      </c>
      <c r="L850">
        <v>2023</v>
      </c>
      <c r="M850">
        <v>730</v>
      </c>
      <c r="N850">
        <v>45142</v>
      </c>
      <c r="O850" t="str">
        <v>August</v>
      </c>
      <c r="P850" t="str">
        <v>CUST730</v>
      </c>
      <c r="Q850" t="str">
        <v>Female</v>
      </c>
      <c r="R850">
        <v>36</v>
      </c>
      <c r="S850" t="str">
        <v>Clothing</v>
      </c>
      <c r="T850">
        <v>2</v>
      </c>
      <c r="U850">
        <v>25</v>
      </c>
      <c r="V850">
        <v>50</v>
      </c>
      <c r="W850">
        <v>50</v>
      </c>
      <c r="X850">
        <v>2023</v>
      </c>
    </row>
    <row r="851" spans="1:24" x14ac:dyDescent="0.35">
      <c r="A851">
        <v>850</v>
      </c>
      <c r="B851" s="1">
        <v>45135</v>
      </c>
      <c r="C851" s="2" t="s">
        <v>70</v>
      </c>
      <c r="D851" s="2" t="s">
        <v>878</v>
      </c>
      <c r="E851" s="2" t="s">
        <v>18</v>
      </c>
      <c r="F851">
        <v>26</v>
      </c>
      <c r="G851" s="2" t="s">
        <v>15</v>
      </c>
      <c r="H851">
        <v>2</v>
      </c>
      <c r="I851">
        <v>500</v>
      </c>
      <c r="J851">
        <v>1000</v>
      </c>
      <c r="K851">
        <v>1000</v>
      </c>
      <c r="L851">
        <v>2023</v>
      </c>
      <c r="M851">
        <v>731</v>
      </c>
      <c r="N851">
        <v>45056</v>
      </c>
      <c r="O851" t="str">
        <v>May</v>
      </c>
      <c r="P851" t="str">
        <v>CUST731</v>
      </c>
      <c r="Q851" t="str">
        <v>Male</v>
      </c>
      <c r="R851">
        <v>54</v>
      </c>
      <c r="S851" t="str">
        <v>Clothing</v>
      </c>
      <c r="T851">
        <v>4</v>
      </c>
      <c r="U851">
        <v>500</v>
      </c>
      <c r="V851">
        <v>2000</v>
      </c>
      <c r="W851">
        <v>2000</v>
      </c>
      <c r="X851">
        <v>2023</v>
      </c>
    </row>
    <row r="852" spans="1:24" x14ac:dyDescent="0.35">
      <c r="A852">
        <v>851</v>
      </c>
      <c r="B852" s="1">
        <v>45177</v>
      </c>
      <c r="C852" s="2" t="s">
        <v>44</v>
      </c>
      <c r="D852" s="2" t="s">
        <v>879</v>
      </c>
      <c r="E852" s="2" t="s">
        <v>14</v>
      </c>
      <c r="F852">
        <v>32</v>
      </c>
      <c r="G852" s="2" t="s">
        <v>22</v>
      </c>
      <c r="H852">
        <v>2</v>
      </c>
      <c r="I852">
        <v>25</v>
      </c>
      <c r="J852">
        <v>50</v>
      </c>
      <c r="K852">
        <v>50</v>
      </c>
      <c r="L852">
        <v>2023</v>
      </c>
      <c r="M852">
        <v>732</v>
      </c>
      <c r="N852">
        <v>44968</v>
      </c>
      <c r="O852" t="str">
        <v>February</v>
      </c>
      <c r="P852" t="str">
        <v>CUST732</v>
      </c>
      <c r="Q852" t="str">
        <v>Male</v>
      </c>
      <c r="R852">
        <v>61</v>
      </c>
      <c r="S852" t="str">
        <v>Electronics</v>
      </c>
      <c r="T852">
        <v>2</v>
      </c>
      <c r="U852">
        <v>500</v>
      </c>
      <c r="V852">
        <v>1000</v>
      </c>
      <c r="W852">
        <v>1000</v>
      </c>
      <c r="X852">
        <v>2023</v>
      </c>
    </row>
    <row r="853" spans="1:24" x14ac:dyDescent="0.35">
      <c r="A853">
        <v>852</v>
      </c>
      <c r="B853" s="1">
        <v>45211</v>
      </c>
      <c r="C853" s="2" t="s">
        <v>33</v>
      </c>
      <c r="D853" s="2" t="s">
        <v>880</v>
      </c>
      <c r="E853" s="2" t="s">
        <v>18</v>
      </c>
      <c r="F853">
        <v>41</v>
      </c>
      <c r="G853" s="2" t="s">
        <v>19</v>
      </c>
      <c r="H853">
        <v>1</v>
      </c>
      <c r="I853">
        <v>300</v>
      </c>
      <c r="J853">
        <v>300</v>
      </c>
      <c r="K853">
        <v>300</v>
      </c>
      <c r="L853">
        <v>2023</v>
      </c>
      <c r="M853">
        <v>733</v>
      </c>
      <c r="N853">
        <v>45167</v>
      </c>
      <c r="O853" t="str">
        <v>August</v>
      </c>
      <c r="P853" t="str">
        <v>CUST733</v>
      </c>
      <c r="Q853" t="str">
        <v>Male</v>
      </c>
      <c r="R853">
        <v>34</v>
      </c>
      <c r="S853" t="str">
        <v>Beauty</v>
      </c>
      <c r="T853">
        <v>1</v>
      </c>
      <c r="U853">
        <v>30</v>
      </c>
      <c r="V853">
        <v>30</v>
      </c>
      <c r="W853">
        <v>30</v>
      </c>
      <c r="X853">
        <v>2023</v>
      </c>
    </row>
    <row r="854" spans="1:24" x14ac:dyDescent="0.35">
      <c r="A854">
        <v>853</v>
      </c>
      <c r="B854" s="1">
        <v>45050</v>
      </c>
      <c r="C854" s="2" t="s">
        <v>23</v>
      </c>
      <c r="D854" s="2" t="s">
        <v>881</v>
      </c>
      <c r="E854" s="2" t="s">
        <v>14</v>
      </c>
      <c r="F854">
        <v>21</v>
      </c>
      <c r="G854" s="2" t="s">
        <v>15</v>
      </c>
      <c r="H854">
        <v>2</v>
      </c>
      <c r="I854">
        <v>500</v>
      </c>
      <c r="J854">
        <v>1000</v>
      </c>
      <c r="K854">
        <v>1000</v>
      </c>
      <c r="L854">
        <v>2023</v>
      </c>
      <c r="M854">
        <v>734</v>
      </c>
      <c r="N854">
        <v>44936</v>
      </c>
      <c r="O854" t="str">
        <v>January</v>
      </c>
      <c r="P854" t="str">
        <v>CUST734</v>
      </c>
      <c r="Q854" t="str">
        <v>Female</v>
      </c>
      <c r="R854">
        <v>27</v>
      </c>
      <c r="S854" t="str">
        <v>Clothing</v>
      </c>
      <c r="T854">
        <v>1</v>
      </c>
      <c r="U854">
        <v>30</v>
      </c>
      <c r="V854">
        <v>30</v>
      </c>
      <c r="W854">
        <v>30</v>
      </c>
      <c r="X854">
        <v>2023</v>
      </c>
    </row>
    <row r="855" spans="1:24" x14ac:dyDescent="0.35">
      <c r="A855">
        <v>854</v>
      </c>
      <c r="B855" s="1">
        <v>45280</v>
      </c>
      <c r="C855" s="2" t="s">
        <v>31</v>
      </c>
      <c r="D855" s="2" t="s">
        <v>882</v>
      </c>
      <c r="E855" s="2" t="s">
        <v>14</v>
      </c>
      <c r="F855">
        <v>29</v>
      </c>
      <c r="G855" s="2" t="s">
        <v>19</v>
      </c>
      <c r="H855">
        <v>1</v>
      </c>
      <c r="I855">
        <v>50</v>
      </c>
      <c r="J855">
        <v>50</v>
      </c>
      <c r="K855">
        <v>50</v>
      </c>
      <c r="L855">
        <v>2023</v>
      </c>
      <c r="M855">
        <v>735</v>
      </c>
      <c r="N855">
        <v>45203</v>
      </c>
      <c r="O855" t="str">
        <v>October</v>
      </c>
      <c r="P855" t="str">
        <v>CUST735</v>
      </c>
      <c r="Q855" t="str">
        <v>Female</v>
      </c>
      <c r="R855">
        <v>64</v>
      </c>
      <c r="S855" t="str">
        <v>Clothing</v>
      </c>
      <c r="T855">
        <v>4</v>
      </c>
      <c r="U855">
        <v>500</v>
      </c>
      <c r="V855">
        <v>2000</v>
      </c>
      <c r="W855">
        <v>2000</v>
      </c>
      <c r="X855">
        <v>2023</v>
      </c>
    </row>
    <row r="856" spans="1:24" x14ac:dyDescent="0.35">
      <c r="A856">
        <v>855</v>
      </c>
      <c r="B856" s="1">
        <v>45170</v>
      </c>
      <c r="C856" s="2" t="s">
        <v>44</v>
      </c>
      <c r="D856" s="2" t="s">
        <v>883</v>
      </c>
      <c r="E856" s="2" t="s">
        <v>14</v>
      </c>
      <c r="F856">
        <v>54</v>
      </c>
      <c r="G856" s="2" t="s">
        <v>15</v>
      </c>
      <c r="H856">
        <v>1</v>
      </c>
      <c r="I856">
        <v>25</v>
      </c>
      <c r="J856">
        <v>25</v>
      </c>
      <c r="K856">
        <v>25</v>
      </c>
      <c r="L856">
        <v>2023</v>
      </c>
      <c r="M856">
        <v>736</v>
      </c>
      <c r="N856">
        <v>44953</v>
      </c>
      <c r="O856" t="str">
        <v>January</v>
      </c>
      <c r="P856" t="str">
        <v>CUST736</v>
      </c>
      <c r="Q856" t="str">
        <v>Male</v>
      </c>
      <c r="R856">
        <v>29</v>
      </c>
      <c r="S856" t="str">
        <v>Clothing</v>
      </c>
      <c r="T856">
        <v>4</v>
      </c>
      <c r="U856">
        <v>25</v>
      </c>
      <c r="V856">
        <v>100</v>
      </c>
      <c r="W856">
        <v>100</v>
      </c>
      <c r="X856">
        <v>2023</v>
      </c>
    </row>
    <row r="857" spans="1:24" x14ac:dyDescent="0.35">
      <c r="A857">
        <v>856</v>
      </c>
      <c r="B857" s="1">
        <v>45257</v>
      </c>
      <c r="C857" s="2" t="s">
        <v>12</v>
      </c>
      <c r="D857" s="2" t="s">
        <v>884</v>
      </c>
      <c r="E857" s="2" t="s">
        <v>14</v>
      </c>
      <c r="F857">
        <v>54</v>
      </c>
      <c r="G857" s="2" t="s">
        <v>22</v>
      </c>
      <c r="H857">
        <v>4</v>
      </c>
      <c r="I857">
        <v>30</v>
      </c>
      <c r="J857">
        <v>120</v>
      </c>
      <c r="K857">
        <v>120</v>
      </c>
      <c r="L857">
        <v>2023</v>
      </c>
      <c r="M857">
        <v>737</v>
      </c>
      <c r="N857">
        <v>45106</v>
      </c>
      <c r="O857" t="str">
        <v>June</v>
      </c>
      <c r="P857" t="str">
        <v>CUST737</v>
      </c>
      <c r="Q857" t="str">
        <v>Female</v>
      </c>
      <c r="R857">
        <v>33</v>
      </c>
      <c r="S857" t="str">
        <v>Clothing</v>
      </c>
      <c r="T857">
        <v>1</v>
      </c>
      <c r="U857">
        <v>50</v>
      </c>
      <c r="V857">
        <v>50</v>
      </c>
      <c r="W857">
        <v>50</v>
      </c>
      <c r="X857">
        <v>2023</v>
      </c>
    </row>
    <row r="858" spans="1:24" x14ac:dyDescent="0.35">
      <c r="A858">
        <v>857</v>
      </c>
      <c r="B858" s="1">
        <v>45291</v>
      </c>
      <c r="C858" s="2" t="s">
        <v>31</v>
      </c>
      <c r="D858" s="2" t="s">
        <v>885</v>
      </c>
      <c r="E858" s="2" t="s">
        <v>14</v>
      </c>
      <c r="F858">
        <v>60</v>
      </c>
      <c r="G858" s="2" t="s">
        <v>22</v>
      </c>
      <c r="H858">
        <v>2</v>
      </c>
      <c r="I858">
        <v>25</v>
      </c>
      <c r="J858">
        <v>50</v>
      </c>
      <c r="K858">
        <v>50</v>
      </c>
      <c r="L858">
        <v>2023</v>
      </c>
      <c r="M858">
        <v>738</v>
      </c>
      <c r="N858">
        <v>45041</v>
      </c>
      <c r="O858" t="str">
        <v>April</v>
      </c>
      <c r="P858" t="str">
        <v>CUST738</v>
      </c>
      <c r="Q858" t="str">
        <v>Male</v>
      </c>
      <c r="R858">
        <v>41</v>
      </c>
      <c r="S858" t="str">
        <v>Clothing</v>
      </c>
      <c r="T858">
        <v>2</v>
      </c>
      <c r="U858">
        <v>50</v>
      </c>
      <c r="V858">
        <v>100</v>
      </c>
      <c r="W858">
        <v>100</v>
      </c>
      <c r="X858">
        <v>2023</v>
      </c>
    </row>
    <row r="859" spans="1:24" x14ac:dyDescent="0.35">
      <c r="A859">
        <v>858</v>
      </c>
      <c r="B859" s="1">
        <v>45178</v>
      </c>
      <c r="C859" s="2" t="s">
        <v>44</v>
      </c>
      <c r="D859" s="2" t="s">
        <v>886</v>
      </c>
      <c r="E859" s="2" t="s">
        <v>14</v>
      </c>
      <c r="F859">
        <v>23</v>
      </c>
      <c r="G859" s="2" t="s">
        <v>22</v>
      </c>
      <c r="H859">
        <v>2</v>
      </c>
      <c r="I859">
        <v>50</v>
      </c>
      <c r="J859">
        <v>100</v>
      </c>
      <c r="K859">
        <v>100</v>
      </c>
      <c r="L859">
        <v>2023</v>
      </c>
      <c r="M859">
        <v>739</v>
      </c>
      <c r="N859">
        <v>45259</v>
      </c>
      <c r="O859" t="str">
        <v>November</v>
      </c>
      <c r="P859" t="str">
        <v>CUST739</v>
      </c>
      <c r="Q859" t="str">
        <v>Male</v>
      </c>
      <c r="R859">
        <v>36</v>
      </c>
      <c r="S859" t="str">
        <v>Beauty</v>
      </c>
      <c r="T859">
        <v>1</v>
      </c>
      <c r="U859">
        <v>25</v>
      </c>
      <c r="V859">
        <v>25</v>
      </c>
      <c r="W859">
        <v>25</v>
      </c>
      <c r="X859">
        <v>2023</v>
      </c>
    </row>
    <row r="860" spans="1:24" x14ac:dyDescent="0.35">
      <c r="A860">
        <v>859</v>
      </c>
      <c r="B860" s="1">
        <v>45156</v>
      </c>
      <c r="C860" s="2" t="s">
        <v>37</v>
      </c>
      <c r="D860" s="2" t="s">
        <v>887</v>
      </c>
      <c r="E860" s="2" t="s">
        <v>18</v>
      </c>
      <c r="F860">
        <v>56</v>
      </c>
      <c r="G860" s="2" t="s">
        <v>22</v>
      </c>
      <c r="H860">
        <v>3</v>
      </c>
      <c r="I860">
        <v>500</v>
      </c>
      <c r="J860">
        <v>1500</v>
      </c>
      <c r="K860">
        <v>1500</v>
      </c>
      <c r="L860">
        <v>2023</v>
      </c>
      <c r="M860">
        <v>740</v>
      </c>
      <c r="N860">
        <v>44962</v>
      </c>
      <c r="O860" t="str">
        <v>February</v>
      </c>
      <c r="P860" t="str">
        <v>CUST740</v>
      </c>
      <c r="Q860" t="str">
        <v>Female</v>
      </c>
      <c r="R860">
        <v>25</v>
      </c>
      <c r="S860" t="str">
        <v>Beauty</v>
      </c>
      <c r="T860">
        <v>4</v>
      </c>
      <c r="U860">
        <v>50</v>
      </c>
      <c r="V860">
        <v>200</v>
      </c>
      <c r="W860">
        <v>200</v>
      </c>
      <c r="X860">
        <v>2023</v>
      </c>
    </row>
    <row r="861" spans="1:24" x14ac:dyDescent="0.35">
      <c r="A861">
        <v>860</v>
      </c>
      <c r="B861" s="1">
        <v>44935</v>
      </c>
      <c r="C861" s="2" t="s">
        <v>20</v>
      </c>
      <c r="D861" s="2" t="s">
        <v>888</v>
      </c>
      <c r="E861" s="2" t="s">
        <v>14</v>
      </c>
      <c r="F861">
        <v>63</v>
      </c>
      <c r="G861" s="2" t="s">
        <v>19</v>
      </c>
      <c r="H861">
        <v>4</v>
      </c>
      <c r="I861">
        <v>50</v>
      </c>
      <c r="J861">
        <v>200</v>
      </c>
      <c r="K861">
        <v>200</v>
      </c>
      <c r="L861">
        <v>2023</v>
      </c>
      <c r="M861">
        <v>741</v>
      </c>
      <c r="N861">
        <v>45260</v>
      </c>
      <c r="O861" t="str">
        <v>November</v>
      </c>
      <c r="P861" t="str">
        <v>CUST741</v>
      </c>
      <c r="Q861" t="str">
        <v>Male</v>
      </c>
      <c r="R861">
        <v>48</v>
      </c>
      <c r="S861" t="str">
        <v>Clothing</v>
      </c>
      <c r="T861">
        <v>1</v>
      </c>
      <c r="U861">
        <v>300</v>
      </c>
      <c r="V861">
        <v>300</v>
      </c>
      <c r="W861">
        <v>300</v>
      </c>
      <c r="X861">
        <v>2023</v>
      </c>
    </row>
    <row r="862" spans="1:24" x14ac:dyDescent="0.35">
      <c r="A862">
        <v>861</v>
      </c>
      <c r="B862" s="1">
        <v>44974</v>
      </c>
      <c r="C862" s="2" t="s">
        <v>16</v>
      </c>
      <c r="D862" s="2" t="s">
        <v>889</v>
      </c>
      <c r="E862" s="2" t="s">
        <v>18</v>
      </c>
      <c r="F862">
        <v>41</v>
      </c>
      <c r="G862" s="2" t="s">
        <v>19</v>
      </c>
      <c r="H862">
        <v>3</v>
      </c>
      <c r="I862">
        <v>30</v>
      </c>
      <c r="J862">
        <v>90</v>
      </c>
      <c r="K862">
        <v>90</v>
      </c>
      <c r="L862">
        <v>2023</v>
      </c>
      <c r="M862">
        <v>742</v>
      </c>
      <c r="N862">
        <v>44947</v>
      </c>
      <c r="O862" t="str">
        <v>January</v>
      </c>
      <c r="P862" t="str">
        <v>CUST742</v>
      </c>
      <c r="Q862" t="str">
        <v>Female</v>
      </c>
      <c r="R862">
        <v>38</v>
      </c>
      <c r="S862" t="str">
        <v>Electronics</v>
      </c>
      <c r="T862">
        <v>4</v>
      </c>
      <c r="U862">
        <v>500</v>
      </c>
      <c r="V862">
        <v>2000</v>
      </c>
      <c r="W862">
        <v>2000</v>
      </c>
      <c r="X862">
        <v>2023</v>
      </c>
    </row>
    <row r="863" spans="1:24" x14ac:dyDescent="0.35">
      <c r="A863">
        <v>862</v>
      </c>
      <c r="B863" s="1">
        <v>45077</v>
      </c>
      <c r="C863" s="2" t="s">
        <v>23</v>
      </c>
      <c r="D863" s="2" t="s">
        <v>890</v>
      </c>
      <c r="E863" s="2" t="s">
        <v>14</v>
      </c>
      <c r="F863">
        <v>28</v>
      </c>
      <c r="G863" s="2" t="s">
        <v>22</v>
      </c>
      <c r="H863">
        <v>4</v>
      </c>
      <c r="I863">
        <v>300</v>
      </c>
      <c r="J863">
        <v>1200</v>
      </c>
      <c r="K863">
        <v>1200</v>
      </c>
      <c r="L863">
        <v>2023</v>
      </c>
      <c r="M863">
        <v>743</v>
      </c>
      <c r="N863">
        <v>44942</v>
      </c>
      <c r="O863" t="str">
        <v>January</v>
      </c>
      <c r="P863" t="str">
        <v>CUST743</v>
      </c>
      <c r="Q863" t="str">
        <v>Female</v>
      </c>
      <c r="R863">
        <v>34</v>
      </c>
      <c r="S863" t="str">
        <v>Beauty</v>
      </c>
      <c r="T863">
        <v>4</v>
      </c>
      <c r="U863">
        <v>500</v>
      </c>
      <c r="V863">
        <v>2000</v>
      </c>
      <c r="W863">
        <v>2000</v>
      </c>
      <c r="X863">
        <v>2023</v>
      </c>
    </row>
    <row r="864" spans="1:24" x14ac:dyDescent="0.35">
      <c r="A864">
        <v>863</v>
      </c>
      <c r="B864" s="1">
        <v>45040</v>
      </c>
      <c r="C864" s="2" t="s">
        <v>26</v>
      </c>
      <c r="D864" s="2" t="s">
        <v>891</v>
      </c>
      <c r="E864" s="2" t="s">
        <v>18</v>
      </c>
      <c r="F864">
        <v>30</v>
      </c>
      <c r="G864" s="2" t="s">
        <v>22</v>
      </c>
      <c r="H864">
        <v>2</v>
      </c>
      <c r="I864">
        <v>25</v>
      </c>
      <c r="J864">
        <v>50</v>
      </c>
      <c r="K864">
        <v>50</v>
      </c>
      <c r="L864">
        <v>2023</v>
      </c>
      <c r="M864">
        <v>744</v>
      </c>
      <c r="N864">
        <v>45053</v>
      </c>
      <c r="O864" t="str">
        <v>May</v>
      </c>
      <c r="P864" t="str">
        <v>CUST744</v>
      </c>
      <c r="Q864" t="str">
        <v>Male</v>
      </c>
      <c r="R864">
        <v>40</v>
      </c>
      <c r="S864" t="str">
        <v>Electronics</v>
      </c>
      <c r="T864">
        <v>1</v>
      </c>
      <c r="U864">
        <v>25</v>
      </c>
      <c r="V864">
        <v>25</v>
      </c>
      <c r="W864">
        <v>25</v>
      </c>
      <c r="X864">
        <v>2023</v>
      </c>
    </row>
    <row r="865" spans="1:24" x14ac:dyDescent="0.35">
      <c r="A865">
        <v>864</v>
      </c>
      <c r="B865" s="1">
        <v>45134</v>
      </c>
      <c r="C865" s="2" t="s">
        <v>70</v>
      </c>
      <c r="D865" s="2" t="s">
        <v>892</v>
      </c>
      <c r="E865" s="2" t="s">
        <v>18</v>
      </c>
      <c r="F865">
        <v>51</v>
      </c>
      <c r="G865" s="2" t="s">
        <v>22</v>
      </c>
      <c r="H865">
        <v>1</v>
      </c>
      <c r="I865">
        <v>500</v>
      </c>
      <c r="J865">
        <v>500</v>
      </c>
      <c r="K865">
        <v>500</v>
      </c>
      <c r="L865">
        <v>2023</v>
      </c>
      <c r="M865">
        <v>745</v>
      </c>
      <c r="N865">
        <v>45029</v>
      </c>
      <c r="O865" t="str">
        <v>April</v>
      </c>
      <c r="P865" t="str">
        <v>CUST745</v>
      </c>
      <c r="Q865" t="str">
        <v>Male</v>
      </c>
      <c r="R865">
        <v>54</v>
      </c>
      <c r="S865" t="str">
        <v>Beauty</v>
      </c>
      <c r="T865">
        <v>2</v>
      </c>
      <c r="U865">
        <v>50</v>
      </c>
      <c r="V865">
        <v>100</v>
      </c>
      <c r="W865">
        <v>100</v>
      </c>
      <c r="X865">
        <v>2023</v>
      </c>
    </row>
    <row r="866" spans="1:24" x14ac:dyDescent="0.35">
      <c r="A866">
        <v>865</v>
      </c>
      <c r="B866" s="1">
        <v>45281</v>
      </c>
      <c r="C866" s="2" t="s">
        <v>31</v>
      </c>
      <c r="D866" s="2" t="s">
        <v>893</v>
      </c>
      <c r="E866" s="2" t="s">
        <v>18</v>
      </c>
      <c r="F866">
        <v>42</v>
      </c>
      <c r="G866" s="2" t="s">
        <v>19</v>
      </c>
      <c r="H866">
        <v>1</v>
      </c>
      <c r="I866">
        <v>300</v>
      </c>
      <c r="J866">
        <v>300</v>
      </c>
      <c r="K866">
        <v>300</v>
      </c>
      <c r="L866">
        <v>2023</v>
      </c>
      <c r="M866">
        <v>746</v>
      </c>
      <c r="N866">
        <v>44937</v>
      </c>
      <c r="O866" t="str">
        <v>January</v>
      </c>
      <c r="P866" t="str">
        <v>CUST746</v>
      </c>
      <c r="Q866" t="str">
        <v>Female</v>
      </c>
      <c r="R866">
        <v>33</v>
      </c>
      <c r="S866" t="str">
        <v>Clothing</v>
      </c>
      <c r="T866">
        <v>3</v>
      </c>
      <c r="U866">
        <v>30</v>
      </c>
      <c r="V866">
        <v>90</v>
      </c>
      <c r="W866">
        <v>90</v>
      </c>
      <c r="X866">
        <v>2023</v>
      </c>
    </row>
    <row r="867" spans="1:24" x14ac:dyDescent="0.35">
      <c r="A867">
        <v>866</v>
      </c>
      <c r="B867" s="1">
        <v>45051</v>
      </c>
      <c r="C867" s="2" t="s">
        <v>23</v>
      </c>
      <c r="D867" s="2" t="s">
        <v>894</v>
      </c>
      <c r="E867" s="2" t="s">
        <v>14</v>
      </c>
      <c r="F867">
        <v>24</v>
      </c>
      <c r="G867" s="2" t="s">
        <v>22</v>
      </c>
      <c r="H867">
        <v>1</v>
      </c>
      <c r="I867">
        <v>50</v>
      </c>
      <c r="J867">
        <v>50</v>
      </c>
      <c r="K867">
        <v>50</v>
      </c>
      <c r="L867">
        <v>2023</v>
      </c>
      <c r="M867">
        <v>747</v>
      </c>
      <c r="N867">
        <v>45245</v>
      </c>
      <c r="O867" t="str">
        <v>November</v>
      </c>
      <c r="P867" t="str">
        <v>CUST747</v>
      </c>
      <c r="Q867" t="str">
        <v>Male</v>
      </c>
      <c r="R867">
        <v>23</v>
      </c>
      <c r="S867" t="str">
        <v>Beauty</v>
      </c>
      <c r="T867">
        <v>1</v>
      </c>
      <c r="U867">
        <v>30</v>
      </c>
      <c r="V867">
        <v>30</v>
      </c>
      <c r="W867">
        <v>30</v>
      </c>
      <c r="X867">
        <v>2023</v>
      </c>
    </row>
    <row r="868" spans="1:24" x14ac:dyDescent="0.35">
      <c r="A868">
        <v>867</v>
      </c>
      <c r="B868" s="1">
        <v>45083</v>
      </c>
      <c r="C868" s="2" t="s">
        <v>62</v>
      </c>
      <c r="D868" s="2" t="s">
        <v>895</v>
      </c>
      <c r="E868" s="2" t="s">
        <v>14</v>
      </c>
      <c r="F868">
        <v>21</v>
      </c>
      <c r="G868" s="2" t="s">
        <v>22</v>
      </c>
      <c r="H868">
        <v>1</v>
      </c>
      <c r="I868">
        <v>500</v>
      </c>
      <c r="J868">
        <v>500</v>
      </c>
      <c r="K868">
        <v>500</v>
      </c>
      <c r="L868">
        <v>2023</v>
      </c>
      <c r="M868">
        <v>748</v>
      </c>
      <c r="N868">
        <v>45005</v>
      </c>
      <c r="O868" t="str">
        <v>March</v>
      </c>
      <c r="P868" t="str">
        <v>CUST748</v>
      </c>
      <c r="Q868" t="str">
        <v>Male</v>
      </c>
      <c r="R868">
        <v>25</v>
      </c>
      <c r="S868" t="str">
        <v>Clothing</v>
      </c>
      <c r="T868">
        <v>3</v>
      </c>
      <c r="U868">
        <v>50</v>
      </c>
      <c r="V868">
        <v>150</v>
      </c>
      <c r="W868">
        <v>150</v>
      </c>
      <c r="X868">
        <v>2023</v>
      </c>
    </row>
    <row r="869" spans="1:24" x14ac:dyDescent="0.35">
      <c r="A869">
        <v>868</v>
      </c>
      <c r="B869" s="1">
        <v>45266</v>
      </c>
      <c r="C869" s="2" t="s">
        <v>31</v>
      </c>
      <c r="D869" s="2" t="s">
        <v>896</v>
      </c>
      <c r="E869" s="2" t="s">
        <v>18</v>
      </c>
      <c r="F869">
        <v>25</v>
      </c>
      <c r="G869" s="2" t="s">
        <v>22</v>
      </c>
      <c r="H869">
        <v>1</v>
      </c>
      <c r="I869">
        <v>300</v>
      </c>
      <c r="J869">
        <v>300</v>
      </c>
      <c r="K869">
        <v>300</v>
      </c>
      <c r="L869">
        <v>2023</v>
      </c>
      <c r="M869">
        <v>749</v>
      </c>
      <c r="N869">
        <v>45049</v>
      </c>
      <c r="O869" t="str">
        <v>May</v>
      </c>
      <c r="P869" t="str">
        <v>CUST749</v>
      </c>
      <c r="Q869" t="str">
        <v>Male</v>
      </c>
      <c r="R869">
        <v>42</v>
      </c>
      <c r="S869" t="str">
        <v>Beauty</v>
      </c>
      <c r="T869">
        <v>1</v>
      </c>
      <c r="U869">
        <v>30</v>
      </c>
      <c r="V869">
        <v>30</v>
      </c>
      <c r="W869">
        <v>30</v>
      </c>
      <c r="X869">
        <v>2023</v>
      </c>
    </row>
    <row r="870" spans="1:24" x14ac:dyDescent="0.35">
      <c r="A870">
        <v>869</v>
      </c>
      <c r="B870" s="1">
        <v>45224</v>
      </c>
      <c r="C870" s="2" t="s">
        <v>33</v>
      </c>
      <c r="D870" s="2" t="s">
        <v>897</v>
      </c>
      <c r="E870" s="2" t="s">
        <v>14</v>
      </c>
      <c r="F870">
        <v>37</v>
      </c>
      <c r="G870" s="2" t="s">
        <v>15</v>
      </c>
      <c r="H870">
        <v>3</v>
      </c>
      <c r="I870">
        <v>500</v>
      </c>
      <c r="J870">
        <v>1500</v>
      </c>
      <c r="K870">
        <v>1500</v>
      </c>
      <c r="L870">
        <v>2023</v>
      </c>
      <c r="M870">
        <v>750</v>
      </c>
      <c r="N870">
        <v>44991</v>
      </c>
      <c r="O870" t="str">
        <v>March</v>
      </c>
      <c r="P870" t="str">
        <v>CUST750</v>
      </c>
      <c r="Q870" t="str">
        <v>Female</v>
      </c>
      <c r="R870">
        <v>35</v>
      </c>
      <c r="S870" t="str">
        <v>Clothing</v>
      </c>
      <c r="T870">
        <v>3</v>
      </c>
      <c r="U870">
        <v>25</v>
      </c>
      <c r="V870">
        <v>75</v>
      </c>
      <c r="W870">
        <v>75</v>
      </c>
      <c r="X870">
        <v>2023</v>
      </c>
    </row>
    <row r="871" spans="1:24" x14ac:dyDescent="0.35">
      <c r="A871">
        <v>870</v>
      </c>
      <c r="B871" s="1">
        <v>45115</v>
      </c>
      <c r="C871" s="2" t="s">
        <v>70</v>
      </c>
      <c r="D871" s="2" t="s">
        <v>898</v>
      </c>
      <c r="E871" s="2" t="s">
        <v>18</v>
      </c>
      <c r="F871">
        <v>46</v>
      </c>
      <c r="G871" s="2" t="s">
        <v>22</v>
      </c>
      <c r="H871">
        <v>4</v>
      </c>
      <c r="I871">
        <v>30</v>
      </c>
      <c r="J871">
        <v>120</v>
      </c>
      <c r="K871">
        <v>120</v>
      </c>
      <c r="L871">
        <v>2023</v>
      </c>
      <c r="M871">
        <v>751</v>
      </c>
      <c r="N871">
        <v>45169</v>
      </c>
      <c r="O871" t="str">
        <v>August</v>
      </c>
      <c r="P871" t="str">
        <v>CUST751</v>
      </c>
      <c r="Q871" t="str">
        <v>Female</v>
      </c>
      <c r="R871">
        <v>42</v>
      </c>
      <c r="S871" t="str">
        <v>Clothing</v>
      </c>
      <c r="T871">
        <v>2</v>
      </c>
      <c r="U871">
        <v>25</v>
      </c>
      <c r="V871">
        <v>50</v>
      </c>
      <c r="W871">
        <v>50</v>
      </c>
      <c r="X871">
        <v>2023</v>
      </c>
    </row>
    <row r="872" spans="1:24" x14ac:dyDescent="0.35">
      <c r="A872">
        <v>871</v>
      </c>
      <c r="B872" s="1">
        <v>45169</v>
      </c>
      <c r="C872" s="2" t="s">
        <v>37</v>
      </c>
      <c r="D872" s="2" t="s">
        <v>899</v>
      </c>
      <c r="E872" s="2" t="s">
        <v>14</v>
      </c>
      <c r="F872">
        <v>62</v>
      </c>
      <c r="G872" s="2" t="s">
        <v>15</v>
      </c>
      <c r="H872">
        <v>2</v>
      </c>
      <c r="I872">
        <v>30</v>
      </c>
      <c r="J872">
        <v>60</v>
      </c>
      <c r="K872">
        <v>60</v>
      </c>
      <c r="L872">
        <v>2023</v>
      </c>
      <c r="M872">
        <v>752</v>
      </c>
      <c r="N872">
        <v>45269</v>
      </c>
      <c r="O872" t="str">
        <v>December</v>
      </c>
      <c r="P872" t="str">
        <v>CUST752</v>
      </c>
      <c r="Q872" t="str">
        <v>Male</v>
      </c>
      <c r="R872">
        <v>29</v>
      </c>
      <c r="S872" t="str">
        <v>Clothing</v>
      </c>
      <c r="T872">
        <v>2</v>
      </c>
      <c r="U872">
        <v>50</v>
      </c>
      <c r="V872">
        <v>100</v>
      </c>
      <c r="W872">
        <v>100</v>
      </c>
      <c r="X872">
        <v>2023</v>
      </c>
    </row>
    <row r="873" spans="1:24" x14ac:dyDescent="0.35">
      <c r="A873">
        <v>872</v>
      </c>
      <c r="B873" s="1">
        <v>45210</v>
      </c>
      <c r="C873" s="2" t="s">
        <v>33</v>
      </c>
      <c r="D873" s="2" t="s">
        <v>900</v>
      </c>
      <c r="E873" s="2" t="s">
        <v>18</v>
      </c>
      <c r="F873">
        <v>63</v>
      </c>
      <c r="G873" s="2" t="s">
        <v>15</v>
      </c>
      <c r="H873">
        <v>3</v>
      </c>
      <c r="I873">
        <v>25</v>
      </c>
      <c r="J873">
        <v>75</v>
      </c>
      <c r="K873">
        <v>75</v>
      </c>
      <c r="L873">
        <v>2023</v>
      </c>
      <c r="M873">
        <v>753</v>
      </c>
      <c r="N873">
        <v>44985</v>
      </c>
      <c r="O873" t="str">
        <v>February</v>
      </c>
      <c r="P873" t="str">
        <v>CUST753</v>
      </c>
      <c r="Q873" t="str">
        <v>Female</v>
      </c>
      <c r="R873">
        <v>32</v>
      </c>
      <c r="S873" t="str">
        <v>Clothing</v>
      </c>
      <c r="T873">
        <v>1</v>
      </c>
      <c r="U873">
        <v>30</v>
      </c>
      <c r="V873">
        <v>30</v>
      </c>
      <c r="W873">
        <v>30</v>
      </c>
      <c r="X873">
        <v>2023</v>
      </c>
    </row>
    <row r="874" spans="1:24" x14ac:dyDescent="0.35">
      <c r="A874">
        <v>873</v>
      </c>
      <c r="B874" s="1">
        <v>45198</v>
      </c>
      <c r="C874" s="2" t="s">
        <v>44</v>
      </c>
      <c r="D874" s="2" t="s">
        <v>901</v>
      </c>
      <c r="E874" s="2" t="s">
        <v>18</v>
      </c>
      <c r="F874">
        <v>27</v>
      </c>
      <c r="G874" s="2" t="s">
        <v>22</v>
      </c>
      <c r="H874">
        <v>4</v>
      </c>
      <c r="I874">
        <v>25</v>
      </c>
      <c r="J874">
        <v>100</v>
      </c>
      <c r="K874">
        <v>100</v>
      </c>
      <c r="L874">
        <v>2023</v>
      </c>
      <c r="M874">
        <v>754</v>
      </c>
      <c r="N874">
        <v>45215</v>
      </c>
      <c r="O874" t="str">
        <v>October</v>
      </c>
      <c r="P874" t="str">
        <v>CUST754</v>
      </c>
      <c r="Q874" t="str">
        <v>Female</v>
      </c>
      <c r="R874">
        <v>43</v>
      </c>
      <c r="S874" t="str">
        <v>Electronics</v>
      </c>
      <c r="T874">
        <v>4</v>
      </c>
      <c r="U874">
        <v>25</v>
      </c>
      <c r="V874">
        <v>100</v>
      </c>
      <c r="W874">
        <v>100</v>
      </c>
      <c r="X874">
        <v>2023</v>
      </c>
    </row>
    <row r="875" spans="1:24" x14ac:dyDescent="0.35">
      <c r="A875">
        <v>874</v>
      </c>
      <c r="B875" s="1">
        <v>45103</v>
      </c>
      <c r="C875" s="2" t="s">
        <v>62</v>
      </c>
      <c r="D875" s="2" t="s">
        <v>902</v>
      </c>
      <c r="E875" s="2" t="s">
        <v>14</v>
      </c>
      <c r="F875">
        <v>60</v>
      </c>
      <c r="G875" s="2" t="s">
        <v>15</v>
      </c>
      <c r="H875">
        <v>1</v>
      </c>
      <c r="I875">
        <v>30</v>
      </c>
      <c r="J875">
        <v>30</v>
      </c>
      <c r="K875">
        <v>30</v>
      </c>
      <c r="L875">
        <v>2023</v>
      </c>
      <c r="M875">
        <v>755</v>
      </c>
      <c r="N875">
        <v>45038</v>
      </c>
      <c r="O875" t="str">
        <v>April</v>
      </c>
      <c r="P875" t="str">
        <v>CUST755</v>
      </c>
      <c r="Q875" t="str">
        <v>Female</v>
      </c>
      <c r="R875">
        <v>58</v>
      </c>
      <c r="S875" t="str">
        <v>Clothing</v>
      </c>
      <c r="T875">
        <v>3</v>
      </c>
      <c r="U875">
        <v>25</v>
      </c>
      <c r="V875">
        <v>75</v>
      </c>
      <c r="W875">
        <v>75</v>
      </c>
      <c r="X875">
        <v>2023</v>
      </c>
    </row>
    <row r="876" spans="1:24" x14ac:dyDescent="0.35">
      <c r="A876">
        <v>875</v>
      </c>
      <c r="B876" s="1">
        <v>45144</v>
      </c>
      <c r="C876" s="2" t="s">
        <v>37</v>
      </c>
      <c r="D876" s="2" t="s">
        <v>903</v>
      </c>
      <c r="E876" s="2" t="s">
        <v>18</v>
      </c>
      <c r="F876">
        <v>51</v>
      </c>
      <c r="G876" s="2" t="s">
        <v>22</v>
      </c>
      <c r="H876">
        <v>4</v>
      </c>
      <c r="I876">
        <v>500</v>
      </c>
      <c r="J876">
        <v>2000</v>
      </c>
      <c r="K876">
        <v>2000</v>
      </c>
      <c r="L876">
        <v>2023</v>
      </c>
      <c r="M876">
        <v>756</v>
      </c>
      <c r="N876">
        <v>45165</v>
      </c>
      <c r="O876" t="str">
        <v>August</v>
      </c>
      <c r="P876" t="str">
        <v>CUST756</v>
      </c>
      <c r="Q876" t="str">
        <v>Female</v>
      </c>
      <c r="R876">
        <v>62</v>
      </c>
      <c r="S876" t="str">
        <v>Electronics</v>
      </c>
      <c r="T876">
        <v>4</v>
      </c>
      <c r="U876">
        <v>300</v>
      </c>
      <c r="V876">
        <v>1200</v>
      </c>
      <c r="W876">
        <v>1200</v>
      </c>
      <c r="X876">
        <v>2023</v>
      </c>
    </row>
    <row r="877" spans="1:24" x14ac:dyDescent="0.35">
      <c r="A877">
        <v>876</v>
      </c>
      <c r="B877" s="1">
        <v>45208</v>
      </c>
      <c r="C877" s="2" t="s">
        <v>33</v>
      </c>
      <c r="D877" s="2" t="s">
        <v>904</v>
      </c>
      <c r="E877" s="2" t="s">
        <v>14</v>
      </c>
      <c r="F877">
        <v>43</v>
      </c>
      <c r="G877" s="2" t="s">
        <v>19</v>
      </c>
      <c r="H877">
        <v>4</v>
      </c>
      <c r="I877">
        <v>30</v>
      </c>
      <c r="J877">
        <v>120</v>
      </c>
      <c r="K877">
        <v>120</v>
      </c>
      <c r="L877">
        <v>2023</v>
      </c>
      <c r="M877">
        <v>757</v>
      </c>
      <c r="N877">
        <v>45285</v>
      </c>
      <c r="O877" t="str">
        <v>December</v>
      </c>
      <c r="P877" t="str">
        <v>CUST757</v>
      </c>
      <c r="Q877" t="str">
        <v>Female</v>
      </c>
      <c r="R877">
        <v>43</v>
      </c>
      <c r="S877" t="str">
        <v>Electronics</v>
      </c>
      <c r="T877">
        <v>4</v>
      </c>
      <c r="U877">
        <v>300</v>
      </c>
      <c r="V877">
        <v>1200</v>
      </c>
      <c r="W877">
        <v>1200</v>
      </c>
      <c r="X877">
        <v>2023</v>
      </c>
    </row>
    <row r="878" spans="1:24" x14ac:dyDescent="0.35">
      <c r="A878">
        <v>877</v>
      </c>
      <c r="B878" s="1">
        <v>45096</v>
      </c>
      <c r="C878" s="2" t="s">
        <v>62</v>
      </c>
      <c r="D878" s="2" t="s">
        <v>905</v>
      </c>
      <c r="E878" s="2" t="s">
        <v>18</v>
      </c>
      <c r="F878">
        <v>58</v>
      </c>
      <c r="G878" s="2" t="s">
        <v>19</v>
      </c>
      <c r="H878">
        <v>1</v>
      </c>
      <c r="I878">
        <v>25</v>
      </c>
      <c r="J878">
        <v>25</v>
      </c>
      <c r="K878">
        <v>25</v>
      </c>
      <c r="L878">
        <v>2023</v>
      </c>
      <c r="M878">
        <v>758</v>
      </c>
      <c r="N878">
        <v>45058</v>
      </c>
      <c r="O878" t="str">
        <v>May</v>
      </c>
      <c r="P878" t="str">
        <v>CUST758</v>
      </c>
      <c r="Q878" t="str">
        <v>Male</v>
      </c>
      <c r="R878">
        <v>64</v>
      </c>
      <c r="S878" t="str">
        <v>Clothing</v>
      </c>
      <c r="T878">
        <v>4</v>
      </c>
      <c r="U878">
        <v>25</v>
      </c>
      <c r="V878">
        <v>100</v>
      </c>
      <c r="W878">
        <v>100</v>
      </c>
      <c r="X878">
        <v>2023</v>
      </c>
    </row>
    <row r="879" spans="1:24" x14ac:dyDescent="0.35">
      <c r="A879">
        <v>878</v>
      </c>
      <c r="B879" s="1">
        <v>45107</v>
      </c>
      <c r="C879" s="2" t="s">
        <v>62</v>
      </c>
      <c r="D879" s="2" t="s">
        <v>906</v>
      </c>
      <c r="E879" s="2" t="s">
        <v>18</v>
      </c>
      <c r="F879">
        <v>20</v>
      </c>
      <c r="G879" s="2" t="s">
        <v>19</v>
      </c>
      <c r="H879">
        <v>1</v>
      </c>
      <c r="I879">
        <v>30</v>
      </c>
      <c r="J879">
        <v>30</v>
      </c>
      <c r="K879">
        <v>30</v>
      </c>
      <c r="L879">
        <v>2023</v>
      </c>
      <c r="M879">
        <v>759</v>
      </c>
      <c r="N879">
        <v>45115</v>
      </c>
      <c r="O879" t="str">
        <v>July</v>
      </c>
      <c r="P879" t="str">
        <v>CUST759</v>
      </c>
      <c r="Q879" t="str">
        <v>Male</v>
      </c>
      <c r="R879">
        <v>49</v>
      </c>
      <c r="S879" t="str">
        <v>Electronics</v>
      </c>
      <c r="T879">
        <v>2</v>
      </c>
      <c r="U879">
        <v>50</v>
      </c>
      <c r="V879">
        <v>100</v>
      </c>
      <c r="W879">
        <v>100</v>
      </c>
      <c r="X879">
        <v>2023</v>
      </c>
    </row>
    <row r="880" spans="1:24" x14ac:dyDescent="0.35">
      <c r="A880">
        <v>879</v>
      </c>
      <c r="B880" s="1">
        <v>45286</v>
      </c>
      <c r="C880" s="2" t="s">
        <v>31</v>
      </c>
      <c r="D880" s="2" t="s">
        <v>907</v>
      </c>
      <c r="E880" s="2" t="s">
        <v>14</v>
      </c>
      <c r="F880">
        <v>23</v>
      </c>
      <c r="G880" s="2" t="s">
        <v>19</v>
      </c>
      <c r="H880">
        <v>1</v>
      </c>
      <c r="I880">
        <v>30</v>
      </c>
      <c r="J880">
        <v>30</v>
      </c>
      <c r="K880">
        <v>30</v>
      </c>
      <c r="L880">
        <v>2023</v>
      </c>
      <c r="M880">
        <v>760</v>
      </c>
      <c r="N880">
        <v>45012</v>
      </c>
      <c r="O880" t="str">
        <v>March</v>
      </c>
      <c r="P880" t="str">
        <v>CUST760</v>
      </c>
      <c r="Q880" t="str">
        <v>Male</v>
      </c>
      <c r="R880">
        <v>27</v>
      </c>
      <c r="S880" t="str">
        <v>Beauty</v>
      </c>
      <c r="T880">
        <v>1</v>
      </c>
      <c r="U880">
        <v>500</v>
      </c>
      <c r="V880">
        <v>500</v>
      </c>
      <c r="W880">
        <v>500</v>
      </c>
      <c r="X880">
        <v>2023</v>
      </c>
    </row>
    <row r="881" spans="1:24" x14ac:dyDescent="0.35">
      <c r="A881">
        <v>880</v>
      </c>
      <c r="B881" s="1">
        <v>45159</v>
      </c>
      <c r="C881" s="2" t="s">
        <v>37</v>
      </c>
      <c r="D881" s="2" t="s">
        <v>908</v>
      </c>
      <c r="E881" s="2" t="s">
        <v>14</v>
      </c>
      <c r="F881">
        <v>22</v>
      </c>
      <c r="G881" s="2" t="s">
        <v>15</v>
      </c>
      <c r="H881">
        <v>2</v>
      </c>
      <c r="I881">
        <v>500</v>
      </c>
      <c r="J881">
        <v>1000</v>
      </c>
      <c r="K881">
        <v>1000</v>
      </c>
      <c r="L881">
        <v>2023</v>
      </c>
      <c r="M881">
        <v>761</v>
      </c>
      <c r="N881">
        <v>45237</v>
      </c>
      <c r="O881" t="str">
        <v>November</v>
      </c>
      <c r="P881" t="str">
        <v>CUST761</v>
      </c>
      <c r="Q881" t="str">
        <v>Female</v>
      </c>
      <c r="R881">
        <v>33</v>
      </c>
      <c r="S881" t="str">
        <v>Clothing</v>
      </c>
      <c r="T881">
        <v>1</v>
      </c>
      <c r="U881">
        <v>500</v>
      </c>
      <c r="V881">
        <v>500</v>
      </c>
      <c r="W881">
        <v>500</v>
      </c>
      <c r="X881">
        <v>2023</v>
      </c>
    </row>
    <row r="882" spans="1:24" x14ac:dyDescent="0.35">
      <c r="A882">
        <v>881</v>
      </c>
      <c r="B882" s="1">
        <v>45065</v>
      </c>
      <c r="C882" s="2" t="s">
        <v>23</v>
      </c>
      <c r="D882" s="2" t="s">
        <v>909</v>
      </c>
      <c r="E882" s="2" t="s">
        <v>14</v>
      </c>
      <c r="F882">
        <v>22</v>
      </c>
      <c r="G882" s="2" t="s">
        <v>22</v>
      </c>
      <c r="H882">
        <v>1</v>
      </c>
      <c r="I882">
        <v>300</v>
      </c>
      <c r="J882">
        <v>300</v>
      </c>
      <c r="K882">
        <v>300</v>
      </c>
      <c r="L882">
        <v>2023</v>
      </c>
      <c r="M882">
        <v>762</v>
      </c>
      <c r="N882">
        <v>45237</v>
      </c>
      <c r="O882" t="str">
        <v>November</v>
      </c>
      <c r="P882" t="str">
        <v>CUST762</v>
      </c>
      <c r="Q882" t="str">
        <v>Female</v>
      </c>
      <c r="R882">
        <v>24</v>
      </c>
      <c r="S882" t="str">
        <v>Electronics</v>
      </c>
      <c r="T882">
        <v>2</v>
      </c>
      <c r="U882">
        <v>25</v>
      </c>
      <c r="V882">
        <v>50</v>
      </c>
      <c r="W882">
        <v>50</v>
      </c>
      <c r="X882">
        <v>2023</v>
      </c>
    </row>
    <row r="883" spans="1:24" x14ac:dyDescent="0.35">
      <c r="A883">
        <v>882</v>
      </c>
      <c r="B883" s="1">
        <v>45083</v>
      </c>
      <c r="C883" s="2" t="s">
        <v>62</v>
      </c>
      <c r="D883" s="2" t="s">
        <v>910</v>
      </c>
      <c r="E883" s="2" t="s">
        <v>18</v>
      </c>
      <c r="F883">
        <v>64</v>
      </c>
      <c r="G883" s="2" t="s">
        <v>22</v>
      </c>
      <c r="H883">
        <v>2</v>
      </c>
      <c r="I883">
        <v>25</v>
      </c>
      <c r="J883">
        <v>50</v>
      </c>
      <c r="K883">
        <v>50</v>
      </c>
      <c r="L883">
        <v>2023</v>
      </c>
      <c r="M883">
        <v>763</v>
      </c>
      <c r="N883">
        <v>44985</v>
      </c>
      <c r="O883" t="str">
        <v>February</v>
      </c>
      <c r="P883" t="str">
        <v>CUST763</v>
      </c>
      <c r="Q883" t="str">
        <v>Male</v>
      </c>
      <c r="R883">
        <v>34</v>
      </c>
      <c r="S883" t="str">
        <v>Clothing</v>
      </c>
      <c r="T883">
        <v>2</v>
      </c>
      <c r="U883">
        <v>25</v>
      </c>
      <c r="V883">
        <v>50</v>
      </c>
      <c r="W883">
        <v>50</v>
      </c>
      <c r="X883">
        <v>2023</v>
      </c>
    </row>
    <row r="884" spans="1:24" x14ac:dyDescent="0.35">
      <c r="A884">
        <v>883</v>
      </c>
      <c r="B884" s="1">
        <v>45055</v>
      </c>
      <c r="C884" s="2" t="s">
        <v>23</v>
      </c>
      <c r="D884" s="2" t="s">
        <v>911</v>
      </c>
      <c r="E884" s="2" t="s">
        <v>14</v>
      </c>
      <c r="F884">
        <v>40</v>
      </c>
      <c r="G884" s="2" t="s">
        <v>22</v>
      </c>
      <c r="H884">
        <v>1</v>
      </c>
      <c r="I884">
        <v>500</v>
      </c>
      <c r="J884">
        <v>500</v>
      </c>
      <c r="K884">
        <v>500</v>
      </c>
      <c r="L884">
        <v>2023</v>
      </c>
      <c r="M884">
        <v>764</v>
      </c>
      <c r="N884">
        <v>45010</v>
      </c>
      <c r="O884" t="str">
        <v>March</v>
      </c>
      <c r="P884" t="str">
        <v>CUST764</v>
      </c>
      <c r="Q884" t="str">
        <v>Female</v>
      </c>
      <c r="R884">
        <v>40</v>
      </c>
      <c r="S884" t="str">
        <v>Clothing</v>
      </c>
      <c r="T884">
        <v>1</v>
      </c>
      <c r="U884">
        <v>25</v>
      </c>
      <c r="V884">
        <v>25</v>
      </c>
      <c r="W884">
        <v>25</v>
      </c>
      <c r="X884">
        <v>2023</v>
      </c>
    </row>
    <row r="885" spans="1:24" x14ac:dyDescent="0.35">
      <c r="A885">
        <v>884</v>
      </c>
      <c r="B885" s="1">
        <v>45045</v>
      </c>
      <c r="C885" s="2" t="s">
        <v>26</v>
      </c>
      <c r="D885" s="2" t="s">
        <v>912</v>
      </c>
      <c r="E885" s="2" t="s">
        <v>18</v>
      </c>
      <c r="F885">
        <v>26</v>
      </c>
      <c r="G885" s="2" t="s">
        <v>19</v>
      </c>
      <c r="H885">
        <v>2</v>
      </c>
      <c r="I885">
        <v>30</v>
      </c>
      <c r="J885">
        <v>60</v>
      </c>
      <c r="K885">
        <v>60</v>
      </c>
      <c r="L885">
        <v>2023</v>
      </c>
      <c r="M885">
        <v>765</v>
      </c>
      <c r="N885">
        <v>45086</v>
      </c>
      <c r="O885" t="str">
        <v>June</v>
      </c>
      <c r="P885" t="str">
        <v>CUST765</v>
      </c>
      <c r="Q885" t="str">
        <v>Male</v>
      </c>
      <c r="R885">
        <v>43</v>
      </c>
      <c r="S885" t="str">
        <v>Clothing</v>
      </c>
      <c r="T885">
        <v>4</v>
      </c>
      <c r="U885">
        <v>50</v>
      </c>
      <c r="V885">
        <v>200</v>
      </c>
      <c r="W885">
        <v>200</v>
      </c>
      <c r="X885">
        <v>2023</v>
      </c>
    </row>
    <row r="886" spans="1:24" x14ac:dyDescent="0.35">
      <c r="A886">
        <v>885</v>
      </c>
      <c r="B886" s="1">
        <v>44988</v>
      </c>
      <c r="C886" s="2" t="s">
        <v>28</v>
      </c>
      <c r="D886" s="2" t="s">
        <v>913</v>
      </c>
      <c r="E886" s="2" t="s">
        <v>18</v>
      </c>
      <c r="F886">
        <v>52</v>
      </c>
      <c r="G886" s="2" t="s">
        <v>19</v>
      </c>
      <c r="H886">
        <v>4</v>
      </c>
      <c r="I886">
        <v>30</v>
      </c>
      <c r="J886">
        <v>120</v>
      </c>
      <c r="K886">
        <v>120</v>
      </c>
      <c r="L886">
        <v>2023</v>
      </c>
      <c r="M886">
        <v>766</v>
      </c>
      <c r="N886">
        <v>44982</v>
      </c>
      <c r="O886" t="str">
        <v>February</v>
      </c>
      <c r="P886" t="str">
        <v>CUST766</v>
      </c>
      <c r="Q886" t="str">
        <v>Male</v>
      </c>
      <c r="R886">
        <v>38</v>
      </c>
      <c r="S886" t="str">
        <v>Electronics</v>
      </c>
      <c r="T886">
        <v>3</v>
      </c>
      <c r="U886">
        <v>300</v>
      </c>
      <c r="V886">
        <v>900</v>
      </c>
      <c r="W886">
        <v>900</v>
      </c>
      <c r="X886">
        <v>2023</v>
      </c>
    </row>
    <row r="887" spans="1:24" x14ac:dyDescent="0.35">
      <c r="A887">
        <v>886</v>
      </c>
      <c r="B887" s="1">
        <v>45025</v>
      </c>
      <c r="C887" s="2" t="s">
        <v>26</v>
      </c>
      <c r="D887" s="2" t="s">
        <v>914</v>
      </c>
      <c r="E887" s="2" t="s">
        <v>14</v>
      </c>
      <c r="F887">
        <v>37</v>
      </c>
      <c r="G887" s="2" t="s">
        <v>22</v>
      </c>
      <c r="H887">
        <v>3</v>
      </c>
      <c r="I887">
        <v>300</v>
      </c>
      <c r="J887">
        <v>900</v>
      </c>
      <c r="K887">
        <v>900</v>
      </c>
      <c r="L887">
        <v>2023</v>
      </c>
      <c r="M887">
        <v>767</v>
      </c>
      <c r="N887">
        <v>45223</v>
      </c>
      <c r="O887" t="str">
        <v>October</v>
      </c>
      <c r="P887" t="str">
        <v>CUST767</v>
      </c>
      <c r="Q887" t="str">
        <v>Male</v>
      </c>
      <c r="R887">
        <v>39</v>
      </c>
      <c r="S887" t="str">
        <v>Beauty</v>
      </c>
      <c r="T887">
        <v>3</v>
      </c>
      <c r="U887">
        <v>25</v>
      </c>
      <c r="V887">
        <v>75</v>
      </c>
      <c r="W887">
        <v>75</v>
      </c>
      <c r="X887">
        <v>2023</v>
      </c>
    </row>
    <row r="888" spans="1:24" x14ac:dyDescent="0.35">
      <c r="A888">
        <v>887</v>
      </c>
      <c r="B888" s="1">
        <v>45088</v>
      </c>
      <c r="C888" s="2" t="s">
        <v>62</v>
      </c>
      <c r="D888" s="2" t="s">
        <v>915</v>
      </c>
      <c r="E888" s="2" t="s">
        <v>14</v>
      </c>
      <c r="F888">
        <v>59</v>
      </c>
      <c r="G888" s="2" t="s">
        <v>19</v>
      </c>
      <c r="H888">
        <v>4</v>
      </c>
      <c r="I888">
        <v>25</v>
      </c>
      <c r="J888">
        <v>100</v>
      </c>
      <c r="K888">
        <v>100</v>
      </c>
      <c r="L888">
        <v>2023</v>
      </c>
      <c r="M888">
        <v>768</v>
      </c>
      <c r="N888">
        <v>44940</v>
      </c>
      <c r="O888" t="str">
        <v>January</v>
      </c>
      <c r="P888" t="str">
        <v>CUST768</v>
      </c>
      <c r="Q888" t="str">
        <v>Female</v>
      </c>
      <c r="R888">
        <v>24</v>
      </c>
      <c r="S888" t="str">
        <v>Beauty</v>
      </c>
      <c r="T888">
        <v>3</v>
      </c>
      <c r="U888">
        <v>25</v>
      </c>
      <c r="V888">
        <v>75</v>
      </c>
      <c r="W888">
        <v>75</v>
      </c>
      <c r="X888">
        <v>2023</v>
      </c>
    </row>
    <row r="889" spans="1:24" x14ac:dyDescent="0.35">
      <c r="A889">
        <v>888</v>
      </c>
      <c r="B889" s="1">
        <v>44988</v>
      </c>
      <c r="C889" s="2" t="s">
        <v>28</v>
      </c>
      <c r="D889" s="2" t="s">
        <v>916</v>
      </c>
      <c r="E889" s="2" t="s">
        <v>18</v>
      </c>
      <c r="F889">
        <v>52</v>
      </c>
      <c r="G889" s="2" t="s">
        <v>22</v>
      </c>
      <c r="H889">
        <v>4</v>
      </c>
      <c r="I889">
        <v>25</v>
      </c>
      <c r="J889">
        <v>100</v>
      </c>
      <c r="K889">
        <v>100</v>
      </c>
      <c r="L889">
        <v>2023</v>
      </c>
      <c r="M889">
        <v>769</v>
      </c>
      <c r="N889">
        <v>45086</v>
      </c>
      <c r="O889" t="str">
        <v>June</v>
      </c>
      <c r="P889" t="str">
        <v>CUST769</v>
      </c>
      <c r="Q889" t="str">
        <v>Female</v>
      </c>
      <c r="R889">
        <v>31</v>
      </c>
      <c r="S889" t="str">
        <v>Electronics</v>
      </c>
      <c r="T889">
        <v>4</v>
      </c>
      <c r="U889">
        <v>30</v>
      </c>
      <c r="V889">
        <v>120</v>
      </c>
      <c r="W889">
        <v>120</v>
      </c>
      <c r="X889">
        <v>2023</v>
      </c>
    </row>
    <row r="890" spans="1:24" x14ac:dyDescent="0.35">
      <c r="A890">
        <v>889</v>
      </c>
      <c r="B890" s="1">
        <v>45201</v>
      </c>
      <c r="C890" s="2" t="s">
        <v>33</v>
      </c>
      <c r="D890" s="2" t="s">
        <v>917</v>
      </c>
      <c r="E890" s="2" t="s">
        <v>18</v>
      </c>
      <c r="F890">
        <v>35</v>
      </c>
      <c r="G890" s="2" t="s">
        <v>22</v>
      </c>
      <c r="H890">
        <v>1</v>
      </c>
      <c r="I890">
        <v>50</v>
      </c>
      <c r="J890">
        <v>50</v>
      </c>
      <c r="K890">
        <v>50</v>
      </c>
      <c r="L890">
        <v>2023</v>
      </c>
      <c r="M890">
        <v>770</v>
      </c>
      <c r="N890">
        <v>45221</v>
      </c>
      <c r="O890" t="str">
        <v>October</v>
      </c>
      <c r="P890" t="str">
        <v>CUST770</v>
      </c>
      <c r="Q890" t="str">
        <v>Male</v>
      </c>
      <c r="R890">
        <v>32</v>
      </c>
      <c r="S890" t="str">
        <v>Clothing</v>
      </c>
      <c r="T890">
        <v>1</v>
      </c>
      <c r="U890">
        <v>50</v>
      </c>
      <c r="V890">
        <v>50</v>
      </c>
      <c r="W890">
        <v>50</v>
      </c>
      <c r="X890">
        <v>2023</v>
      </c>
    </row>
    <row r="891" spans="1:24" x14ac:dyDescent="0.35">
      <c r="A891">
        <v>890</v>
      </c>
      <c r="B891" s="1">
        <v>45280</v>
      </c>
      <c r="C891" s="2" t="s">
        <v>31</v>
      </c>
      <c r="D891" s="2" t="s">
        <v>918</v>
      </c>
      <c r="E891" s="2" t="s">
        <v>14</v>
      </c>
      <c r="F891">
        <v>34</v>
      </c>
      <c r="G891" s="2" t="s">
        <v>22</v>
      </c>
      <c r="H891">
        <v>2</v>
      </c>
      <c r="I891">
        <v>25</v>
      </c>
      <c r="J891">
        <v>50</v>
      </c>
      <c r="K891">
        <v>50</v>
      </c>
      <c r="L891">
        <v>2023</v>
      </c>
      <c r="M891">
        <v>771</v>
      </c>
      <c r="N891">
        <v>45273</v>
      </c>
      <c r="O891" t="str">
        <v>December</v>
      </c>
      <c r="P891" t="str">
        <v>CUST771</v>
      </c>
      <c r="Q891" t="str">
        <v>Male</v>
      </c>
      <c r="R891">
        <v>24</v>
      </c>
      <c r="S891" t="str">
        <v>Electronics</v>
      </c>
      <c r="T891">
        <v>2</v>
      </c>
      <c r="U891">
        <v>25</v>
      </c>
      <c r="V891">
        <v>50</v>
      </c>
      <c r="W891">
        <v>50</v>
      </c>
      <c r="X891">
        <v>2023</v>
      </c>
    </row>
    <row r="892" spans="1:24" x14ac:dyDescent="0.35">
      <c r="A892">
        <v>891</v>
      </c>
      <c r="B892" s="1">
        <v>45021</v>
      </c>
      <c r="C892" s="2" t="s">
        <v>26</v>
      </c>
      <c r="D892" s="2" t="s">
        <v>919</v>
      </c>
      <c r="E892" s="2" t="s">
        <v>14</v>
      </c>
      <c r="F892">
        <v>41</v>
      </c>
      <c r="G892" s="2" t="s">
        <v>22</v>
      </c>
      <c r="H892">
        <v>3</v>
      </c>
      <c r="I892">
        <v>300</v>
      </c>
      <c r="J892">
        <v>900</v>
      </c>
      <c r="K892">
        <v>900</v>
      </c>
      <c r="L892">
        <v>2023</v>
      </c>
      <c r="M892">
        <v>772</v>
      </c>
      <c r="N892">
        <v>45119</v>
      </c>
      <c r="O892" t="str">
        <v>July</v>
      </c>
      <c r="P892" t="str">
        <v>CUST772</v>
      </c>
      <c r="Q892" t="str">
        <v>Male</v>
      </c>
      <c r="R892">
        <v>26</v>
      </c>
      <c r="S892" t="str">
        <v>Electronics</v>
      </c>
      <c r="T892">
        <v>1</v>
      </c>
      <c r="U892">
        <v>30</v>
      </c>
      <c r="V892">
        <v>30</v>
      </c>
      <c r="W892">
        <v>30</v>
      </c>
      <c r="X892">
        <v>2023</v>
      </c>
    </row>
    <row r="893" spans="1:24" x14ac:dyDescent="0.35">
      <c r="A893">
        <v>892</v>
      </c>
      <c r="B893" s="1">
        <v>45025</v>
      </c>
      <c r="C893" s="2" t="s">
        <v>26</v>
      </c>
      <c r="D893" s="2" t="s">
        <v>920</v>
      </c>
      <c r="E893" s="2" t="s">
        <v>14</v>
      </c>
      <c r="F893">
        <v>20</v>
      </c>
      <c r="G893" s="2" t="s">
        <v>22</v>
      </c>
      <c r="H893">
        <v>1</v>
      </c>
      <c r="I893">
        <v>50</v>
      </c>
      <c r="J893">
        <v>50</v>
      </c>
      <c r="K893">
        <v>50</v>
      </c>
      <c r="L893">
        <v>2023</v>
      </c>
      <c r="M893">
        <v>773</v>
      </c>
      <c r="N893">
        <v>45130</v>
      </c>
      <c r="O893" t="str">
        <v>July</v>
      </c>
      <c r="P893" t="str">
        <v>CUST773</v>
      </c>
      <c r="Q893" t="str">
        <v>Male</v>
      </c>
      <c r="R893">
        <v>25</v>
      </c>
      <c r="S893" t="str">
        <v>Electronics</v>
      </c>
      <c r="T893">
        <v>4</v>
      </c>
      <c r="U893">
        <v>500</v>
      </c>
      <c r="V893">
        <v>2000</v>
      </c>
      <c r="W893">
        <v>2000</v>
      </c>
      <c r="X893">
        <v>2023</v>
      </c>
    </row>
    <row r="894" spans="1:24" x14ac:dyDescent="0.35">
      <c r="A894">
        <v>893</v>
      </c>
      <c r="B894" s="1">
        <v>45037</v>
      </c>
      <c r="C894" s="2" t="s">
        <v>26</v>
      </c>
      <c r="D894" s="2" t="s">
        <v>921</v>
      </c>
      <c r="E894" s="2" t="s">
        <v>14</v>
      </c>
      <c r="F894">
        <v>49</v>
      </c>
      <c r="G894" s="2" t="s">
        <v>22</v>
      </c>
      <c r="H894">
        <v>1</v>
      </c>
      <c r="I894">
        <v>50</v>
      </c>
      <c r="J894">
        <v>50</v>
      </c>
      <c r="K894">
        <v>50</v>
      </c>
      <c r="L894">
        <v>2023</v>
      </c>
      <c r="M894">
        <v>774</v>
      </c>
      <c r="N894">
        <v>45028</v>
      </c>
      <c r="O894" t="str">
        <v>April</v>
      </c>
      <c r="P894" t="str">
        <v>CUST774</v>
      </c>
      <c r="Q894" t="str">
        <v>Female</v>
      </c>
      <c r="R894">
        <v>40</v>
      </c>
      <c r="S894" t="str">
        <v>Clothing</v>
      </c>
      <c r="T894">
        <v>2</v>
      </c>
      <c r="U894">
        <v>25</v>
      </c>
      <c r="V894">
        <v>50</v>
      </c>
      <c r="W894">
        <v>50</v>
      </c>
      <c r="X894">
        <v>2023</v>
      </c>
    </row>
    <row r="895" spans="1:24" x14ac:dyDescent="0.35">
      <c r="A895">
        <v>894</v>
      </c>
      <c r="B895" s="1">
        <v>45174</v>
      </c>
      <c r="C895" s="2" t="s">
        <v>44</v>
      </c>
      <c r="D895" s="2" t="s">
        <v>922</v>
      </c>
      <c r="E895" s="2" t="s">
        <v>14</v>
      </c>
      <c r="F895">
        <v>52</v>
      </c>
      <c r="G895" s="2" t="s">
        <v>22</v>
      </c>
      <c r="H895">
        <v>1</v>
      </c>
      <c r="I895">
        <v>30</v>
      </c>
      <c r="J895">
        <v>30</v>
      </c>
      <c r="K895">
        <v>30</v>
      </c>
      <c r="L895">
        <v>2023</v>
      </c>
      <c r="M895">
        <v>775</v>
      </c>
      <c r="N895">
        <v>44965</v>
      </c>
      <c r="O895" t="str">
        <v>February</v>
      </c>
      <c r="P895" t="str">
        <v>CUST775</v>
      </c>
      <c r="Q895" t="str">
        <v>Female</v>
      </c>
      <c r="R895">
        <v>46</v>
      </c>
      <c r="S895" t="str">
        <v>Electronics</v>
      </c>
      <c r="T895">
        <v>4</v>
      </c>
      <c r="U895">
        <v>25</v>
      </c>
      <c r="V895">
        <v>100</v>
      </c>
      <c r="W895">
        <v>100</v>
      </c>
      <c r="X895">
        <v>2023</v>
      </c>
    </row>
    <row r="896" spans="1:24" x14ac:dyDescent="0.35">
      <c r="A896">
        <v>895</v>
      </c>
      <c r="B896" s="1">
        <v>45068</v>
      </c>
      <c r="C896" s="2" t="s">
        <v>23</v>
      </c>
      <c r="D896" s="2" t="s">
        <v>923</v>
      </c>
      <c r="E896" s="2" t="s">
        <v>18</v>
      </c>
      <c r="F896">
        <v>55</v>
      </c>
      <c r="G896" s="2" t="s">
        <v>19</v>
      </c>
      <c r="H896">
        <v>4</v>
      </c>
      <c r="I896">
        <v>30</v>
      </c>
      <c r="J896">
        <v>120</v>
      </c>
      <c r="K896">
        <v>120</v>
      </c>
      <c r="L896">
        <v>2023</v>
      </c>
      <c r="M896">
        <v>776</v>
      </c>
      <c r="N896">
        <v>45230</v>
      </c>
      <c r="O896" t="str">
        <v>October</v>
      </c>
      <c r="P896" t="str">
        <v>CUST776</v>
      </c>
      <c r="Q896" t="str">
        <v>Male</v>
      </c>
      <c r="R896">
        <v>35</v>
      </c>
      <c r="S896" t="str">
        <v>Clothing</v>
      </c>
      <c r="T896">
        <v>3</v>
      </c>
      <c r="U896">
        <v>30</v>
      </c>
      <c r="V896">
        <v>90</v>
      </c>
      <c r="W896">
        <v>90</v>
      </c>
      <c r="X896">
        <v>2023</v>
      </c>
    </row>
    <row r="897" spans="1:24" x14ac:dyDescent="0.35">
      <c r="A897">
        <v>896</v>
      </c>
      <c r="B897" s="1">
        <v>45228</v>
      </c>
      <c r="C897" s="2" t="s">
        <v>33</v>
      </c>
      <c r="D897" s="2" t="s">
        <v>924</v>
      </c>
      <c r="E897" s="2" t="s">
        <v>18</v>
      </c>
      <c r="F897">
        <v>30</v>
      </c>
      <c r="G897" s="2" t="s">
        <v>22</v>
      </c>
      <c r="H897">
        <v>2</v>
      </c>
      <c r="I897">
        <v>25</v>
      </c>
      <c r="J897">
        <v>50</v>
      </c>
      <c r="K897">
        <v>50</v>
      </c>
      <c r="L897">
        <v>2023</v>
      </c>
      <c r="M897">
        <v>777</v>
      </c>
      <c r="N897">
        <v>45280</v>
      </c>
      <c r="O897" t="str">
        <v>December</v>
      </c>
      <c r="P897" t="str">
        <v>CUST777</v>
      </c>
      <c r="Q897" t="str">
        <v>Male</v>
      </c>
      <c r="R897">
        <v>48</v>
      </c>
      <c r="S897" t="str">
        <v>Electronics</v>
      </c>
      <c r="T897">
        <v>3</v>
      </c>
      <c r="U897">
        <v>50</v>
      </c>
      <c r="V897">
        <v>150</v>
      </c>
      <c r="W897">
        <v>150</v>
      </c>
      <c r="X897">
        <v>2023</v>
      </c>
    </row>
    <row r="898" spans="1:24" x14ac:dyDescent="0.35">
      <c r="A898">
        <v>897</v>
      </c>
      <c r="B898" s="1">
        <v>45195</v>
      </c>
      <c r="C898" s="2" t="s">
        <v>44</v>
      </c>
      <c r="D898" s="2" t="s">
        <v>925</v>
      </c>
      <c r="E898" s="2" t="s">
        <v>18</v>
      </c>
      <c r="F898">
        <v>64</v>
      </c>
      <c r="G898" s="2" t="s">
        <v>22</v>
      </c>
      <c r="H898">
        <v>2</v>
      </c>
      <c r="I898">
        <v>50</v>
      </c>
      <c r="J898">
        <v>100</v>
      </c>
      <c r="K898">
        <v>100</v>
      </c>
      <c r="L898">
        <v>2023</v>
      </c>
      <c r="M898">
        <v>778</v>
      </c>
      <c r="N898">
        <v>45248</v>
      </c>
      <c r="O898" t="str">
        <v>November</v>
      </c>
      <c r="P898" t="str">
        <v>CUST778</v>
      </c>
      <c r="Q898" t="str">
        <v>Female</v>
      </c>
      <c r="R898">
        <v>47</v>
      </c>
      <c r="S898" t="str">
        <v>Beauty</v>
      </c>
      <c r="T898">
        <v>4</v>
      </c>
      <c r="U898">
        <v>25</v>
      </c>
      <c r="V898">
        <v>100</v>
      </c>
      <c r="W898">
        <v>100</v>
      </c>
      <c r="X898">
        <v>2023</v>
      </c>
    </row>
    <row r="899" spans="1:24" x14ac:dyDescent="0.35">
      <c r="A899">
        <v>898</v>
      </c>
      <c r="B899" s="1">
        <v>45232</v>
      </c>
      <c r="C899" s="2" t="s">
        <v>12</v>
      </c>
      <c r="D899" s="2" t="s">
        <v>926</v>
      </c>
      <c r="E899" s="2" t="s">
        <v>18</v>
      </c>
      <c r="F899">
        <v>42</v>
      </c>
      <c r="G899" s="2" t="s">
        <v>19</v>
      </c>
      <c r="H899">
        <v>3</v>
      </c>
      <c r="I899">
        <v>30</v>
      </c>
      <c r="J899">
        <v>90</v>
      </c>
      <c r="K899">
        <v>90</v>
      </c>
      <c r="L899">
        <v>2023</v>
      </c>
      <c r="M899">
        <v>779</v>
      </c>
      <c r="N899">
        <v>45051</v>
      </c>
      <c r="O899" t="str">
        <v>May</v>
      </c>
      <c r="P899" t="str">
        <v>CUST779</v>
      </c>
      <c r="Q899" t="str">
        <v>Female</v>
      </c>
      <c r="R899">
        <v>56</v>
      </c>
      <c r="S899" t="str">
        <v>Electronics</v>
      </c>
      <c r="T899">
        <v>2</v>
      </c>
      <c r="U899">
        <v>500</v>
      </c>
      <c r="V899">
        <v>1000</v>
      </c>
      <c r="W899">
        <v>1000</v>
      </c>
      <c r="X899">
        <v>2023</v>
      </c>
    </row>
    <row r="900" spans="1:24" x14ac:dyDescent="0.35">
      <c r="A900">
        <v>899</v>
      </c>
      <c r="B900" s="1">
        <v>45071</v>
      </c>
      <c r="C900" s="2" t="s">
        <v>23</v>
      </c>
      <c r="D900" s="2" t="s">
        <v>927</v>
      </c>
      <c r="E900" s="2" t="s">
        <v>14</v>
      </c>
      <c r="F900">
        <v>26</v>
      </c>
      <c r="G900" s="2" t="s">
        <v>19</v>
      </c>
      <c r="H900">
        <v>2</v>
      </c>
      <c r="I900">
        <v>300</v>
      </c>
      <c r="J900">
        <v>600</v>
      </c>
      <c r="K900">
        <v>600</v>
      </c>
      <c r="L900">
        <v>2023</v>
      </c>
      <c r="M900">
        <v>780</v>
      </c>
      <c r="N900">
        <v>44979</v>
      </c>
      <c r="O900" t="str">
        <v>February</v>
      </c>
      <c r="P900" t="str">
        <v>CUST780</v>
      </c>
      <c r="Q900" t="str">
        <v>Male</v>
      </c>
      <c r="R900">
        <v>52</v>
      </c>
      <c r="S900" t="str">
        <v>Electronics</v>
      </c>
      <c r="T900">
        <v>2</v>
      </c>
      <c r="U900">
        <v>25</v>
      </c>
      <c r="V900">
        <v>50</v>
      </c>
      <c r="W900">
        <v>50</v>
      </c>
      <c r="X900">
        <v>2023</v>
      </c>
    </row>
    <row r="901" spans="1:24" x14ac:dyDescent="0.35">
      <c r="A901">
        <v>900</v>
      </c>
      <c r="B901" s="1">
        <v>44978</v>
      </c>
      <c r="C901" s="2" t="s">
        <v>16</v>
      </c>
      <c r="D901" s="2" t="s">
        <v>928</v>
      </c>
      <c r="E901" s="2" t="s">
        <v>14</v>
      </c>
      <c r="F901">
        <v>21</v>
      </c>
      <c r="G901" s="2" t="s">
        <v>19</v>
      </c>
      <c r="H901">
        <v>2</v>
      </c>
      <c r="I901">
        <v>30</v>
      </c>
      <c r="J901">
        <v>60</v>
      </c>
      <c r="K901">
        <v>60</v>
      </c>
      <c r="L901">
        <v>2023</v>
      </c>
      <c r="M901">
        <v>781</v>
      </c>
      <c r="N901">
        <v>45283</v>
      </c>
      <c r="O901" t="str">
        <v>December</v>
      </c>
      <c r="P901" t="str">
        <v>CUST781</v>
      </c>
      <c r="Q901" t="str">
        <v>Male</v>
      </c>
      <c r="R901">
        <v>35</v>
      </c>
      <c r="S901" t="str">
        <v>Beauty</v>
      </c>
      <c r="T901">
        <v>1</v>
      </c>
      <c r="U901">
        <v>500</v>
      </c>
      <c r="V901">
        <v>500</v>
      </c>
      <c r="W901">
        <v>500</v>
      </c>
      <c r="X901">
        <v>2023</v>
      </c>
    </row>
    <row r="902" spans="1:24" x14ac:dyDescent="0.35">
      <c r="A902">
        <v>901</v>
      </c>
      <c r="B902" s="1">
        <v>45026</v>
      </c>
      <c r="C902" s="2" t="s">
        <v>26</v>
      </c>
      <c r="D902" s="2" t="s">
        <v>929</v>
      </c>
      <c r="E902" s="2" t="s">
        <v>14</v>
      </c>
      <c r="F902">
        <v>31</v>
      </c>
      <c r="G902" s="2" t="s">
        <v>22</v>
      </c>
      <c r="H902">
        <v>1</v>
      </c>
      <c r="I902">
        <v>30</v>
      </c>
      <c r="J902">
        <v>30</v>
      </c>
      <c r="K902">
        <v>30</v>
      </c>
      <c r="L902">
        <v>2023</v>
      </c>
      <c r="M902">
        <v>782</v>
      </c>
      <c r="N902">
        <v>45081</v>
      </c>
      <c r="O902" t="str">
        <v>June</v>
      </c>
      <c r="P902" t="str">
        <v>CUST782</v>
      </c>
      <c r="Q902" t="str">
        <v>Male</v>
      </c>
      <c r="R902">
        <v>59</v>
      </c>
      <c r="S902" t="str">
        <v>Clothing</v>
      </c>
      <c r="T902">
        <v>3</v>
      </c>
      <c r="U902">
        <v>300</v>
      </c>
      <c r="V902">
        <v>900</v>
      </c>
      <c r="W902">
        <v>900</v>
      </c>
      <c r="X902">
        <v>2023</v>
      </c>
    </row>
    <row r="903" spans="1:24" x14ac:dyDescent="0.35">
      <c r="A903">
        <v>902</v>
      </c>
      <c r="B903" s="1">
        <v>45078</v>
      </c>
      <c r="C903" s="2" t="s">
        <v>62</v>
      </c>
      <c r="D903" s="2" t="s">
        <v>930</v>
      </c>
      <c r="E903" s="2" t="s">
        <v>18</v>
      </c>
      <c r="F903">
        <v>54</v>
      </c>
      <c r="G903" s="2" t="s">
        <v>15</v>
      </c>
      <c r="H903">
        <v>1</v>
      </c>
      <c r="I903">
        <v>50</v>
      </c>
      <c r="J903">
        <v>50</v>
      </c>
      <c r="K903">
        <v>50</v>
      </c>
      <c r="L903">
        <v>2023</v>
      </c>
      <c r="M903">
        <v>783</v>
      </c>
      <c r="N903">
        <v>45277</v>
      </c>
      <c r="O903" t="str">
        <v>December</v>
      </c>
      <c r="P903" t="str">
        <v>CUST783</v>
      </c>
      <c r="Q903" t="str">
        <v>Female</v>
      </c>
      <c r="R903">
        <v>56</v>
      </c>
      <c r="S903" t="str">
        <v>Clothing</v>
      </c>
      <c r="T903">
        <v>1</v>
      </c>
      <c r="U903">
        <v>300</v>
      </c>
      <c r="V903">
        <v>300</v>
      </c>
      <c r="W903">
        <v>300</v>
      </c>
      <c r="X903">
        <v>2023</v>
      </c>
    </row>
    <row r="904" spans="1:24" x14ac:dyDescent="0.35">
      <c r="A904">
        <v>903</v>
      </c>
      <c r="B904" s="1">
        <v>45043</v>
      </c>
      <c r="C904" s="2" t="s">
        <v>26</v>
      </c>
      <c r="D904" s="2" t="s">
        <v>931</v>
      </c>
      <c r="E904" s="2" t="s">
        <v>18</v>
      </c>
      <c r="F904">
        <v>51</v>
      </c>
      <c r="G904" s="2" t="s">
        <v>15</v>
      </c>
      <c r="H904">
        <v>4</v>
      </c>
      <c r="I904">
        <v>50</v>
      </c>
      <c r="J904">
        <v>200</v>
      </c>
      <c r="K904">
        <v>200</v>
      </c>
      <c r="L904">
        <v>2023</v>
      </c>
      <c r="M904">
        <v>784</v>
      </c>
      <c r="N904">
        <v>45234</v>
      </c>
      <c r="O904" t="str">
        <v>November</v>
      </c>
      <c r="P904" t="str">
        <v>CUST784</v>
      </c>
      <c r="Q904" t="str">
        <v>Female</v>
      </c>
      <c r="R904">
        <v>34</v>
      </c>
      <c r="S904" t="str">
        <v>Electronics</v>
      </c>
      <c r="T904">
        <v>1</v>
      </c>
      <c r="U904">
        <v>500</v>
      </c>
      <c r="V904">
        <v>500</v>
      </c>
      <c r="W904">
        <v>500</v>
      </c>
      <c r="X904">
        <v>2023</v>
      </c>
    </row>
    <row r="905" spans="1:24" x14ac:dyDescent="0.35">
      <c r="A905">
        <v>904</v>
      </c>
      <c r="B905" s="1">
        <v>45111</v>
      </c>
      <c r="C905" s="2" t="s">
        <v>70</v>
      </c>
      <c r="D905" s="2" t="s">
        <v>932</v>
      </c>
      <c r="E905" s="2" t="s">
        <v>14</v>
      </c>
      <c r="F905">
        <v>28</v>
      </c>
      <c r="G905" s="2" t="s">
        <v>19</v>
      </c>
      <c r="H905">
        <v>1</v>
      </c>
      <c r="I905">
        <v>500</v>
      </c>
      <c r="J905">
        <v>500</v>
      </c>
      <c r="K905">
        <v>500</v>
      </c>
      <c r="L905">
        <v>2023</v>
      </c>
      <c r="M905">
        <v>785</v>
      </c>
      <c r="N905">
        <v>44988</v>
      </c>
      <c r="O905" t="str">
        <v>March</v>
      </c>
      <c r="P905" t="str">
        <v>CUST785</v>
      </c>
      <c r="Q905" t="str">
        <v>Female</v>
      </c>
      <c r="R905">
        <v>31</v>
      </c>
      <c r="S905" t="str">
        <v>Beauty</v>
      </c>
      <c r="T905">
        <v>4</v>
      </c>
      <c r="U905">
        <v>50</v>
      </c>
      <c r="V905">
        <v>200</v>
      </c>
      <c r="W905">
        <v>200</v>
      </c>
      <c r="X905">
        <v>2023</v>
      </c>
    </row>
    <row r="906" spans="1:24" x14ac:dyDescent="0.35">
      <c r="A906">
        <v>905</v>
      </c>
      <c r="B906" s="1">
        <v>45018</v>
      </c>
      <c r="C906" s="2" t="s">
        <v>26</v>
      </c>
      <c r="D906" s="2" t="s">
        <v>933</v>
      </c>
      <c r="E906" s="2" t="s">
        <v>14</v>
      </c>
      <c r="F906">
        <v>58</v>
      </c>
      <c r="G906" s="2" t="s">
        <v>15</v>
      </c>
      <c r="H906">
        <v>1</v>
      </c>
      <c r="I906">
        <v>300</v>
      </c>
      <c r="J906">
        <v>300</v>
      </c>
      <c r="K906">
        <v>300</v>
      </c>
      <c r="L906">
        <v>2023</v>
      </c>
      <c r="M906">
        <v>786</v>
      </c>
      <c r="N906">
        <v>45216</v>
      </c>
      <c r="O906" t="str">
        <v>October</v>
      </c>
      <c r="P906" t="str">
        <v>CUST786</v>
      </c>
      <c r="Q906" t="str">
        <v>Male</v>
      </c>
      <c r="R906">
        <v>48</v>
      </c>
      <c r="S906" t="str">
        <v>Clothing</v>
      </c>
      <c r="T906">
        <v>4</v>
      </c>
      <c r="U906">
        <v>25</v>
      </c>
      <c r="V906">
        <v>100</v>
      </c>
      <c r="W906">
        <v>100</v>
      </c>
      <c r="X906">
        <v>2023</v>
      </c>
    </row>
    <row r="907" spans="1:24" x14ac:dyDescent="0.35">
      <c r="A907">
        <v>906</v>
      </c>
      <c r="B907" s="1">
        <v>45081</v>
      </c>
      <c r="C907" s="2" t="s">
        <v>62</v>
      </c>
      <c r="D907" s="2" t="s">
        <v>934</v>
      </c>
      <c r="E907" s="2" t="s">
        <v>18</v>
      </c>
      <c r="F907">
        <v>20</v>
      </c>
      <c r="G907" s="2" t="s">
        <v>19</v>
      </c>
      <c r="H907">
        <v>1</v>
      </c>
      <c r="I907">
        <v>50</v>
      </c>
      <c r="J907">
        <v>50</v>
      </c>
      <c r="K907">
        <v>50</v>
      </c>
      <c r="L907">
        <v>2023</v>
      </c>
      <c r="M907">
        <v>787</v>
      </c>
      <c r="N907">
        <v>44948</v>
      </c>
      <c r="O907" t="str">
        <v>January</v>
      </c>
      <c r="P907" t="str">
        <v>CUST787</v>
      </c>
      <c r="Q907" t="str">
        <v>Male</v>
      </c>
      <c r="R907">
        <v>41</v>
      </c>
      <c r="S907" t="str">
        <v>Electronics</v>
      </c>
      <c r="T907">
        <v>1</v>
      </c>
      <c r="U907">
        <v>25</v>
      </c>
      <c r="V907">
        <v>25</v>
      </c>
      <c r="W907">
        <v>25</v>
      </c>
      <c r="X907">
        <v>2023</v>
      </c>
    </row>
    <row r="908" spans="1:24" x14ac:dyDescent="0.35">
      <c r="A908">
        <v>907</v>
      </c>
      <c r="B908" s="1">
        <v>44934</v>
      </c>
      <c r="C908" s="2" t="s">
        <v>20</v>
      </c>
      <c r="D908" s="2" t="s">
        <v>935</v>
      </c>
      <c r="E908" s="2" t="s">
        <v>18</v>
      </c>
      <c r="F908">
        <v>45</v>
      </c>
      <c r="G908" s="2" t="s">
        <v>22</v>
      </c>
      <c r="H908">
        <v>1</v>
      </c>
      <c r="I908">
        <v>25</v>
      </c>
      <c r="J908">
        <v>25</v>
      </c>
      <c r="K908">
        <v>25</v>
      </c>
      <c r="L908">
        <v>2023</v>
      </c>
      <c r="M908">
        <v>788</v>
      </c>
      <c r="N908">
        <v>45104</v>
      </c>
      <c r="O908" t="str">
        <v>June</v>
      </c>
      <c r="P908" t="str">
        <v>CUST788</v>
      </c>
      <c r="Q908" t="str">
        <v>Female</v>
      </c>
      <c r="R908">
        <v>52</v>
      </c>
      <c r="S908" t="str">
        <v>Beauty</v>
      </c>
      <c r="T908">
        <v>3</v>
      </c>
      <c r="U908">
        <v>300</v>
      </c>
      <c r="V908">
        <v>900</v>
      </c>
      <c r="W908">
        <v>900</v>
      </c>
      <c r="X908">
        <v>2023</v>
      </c>
    </row>
    <row r="909" spans="1:24" x14ac:dyDescent="0.35">
      <c r="A909">
        <v>908</v>
      </c>
      <c r="B909" s="1">
        <v>45289</v>
      </c>
      <c r="C909" s="2" t="s">
        <v>31</v>
      </c>
      <c r="D909" s="2" t="s">
        <v>936</v>
      </c>
      <c r="E909" s="2" t="s">
        <v>14</v>
      </c>
      <c r="F909">
        <v>46</v>
      </c>
      <c r="G909" s="2" t="s">
        <v>15</v>
      </c>
      <c r="H909">
        <v>4</v>
      </c>
      <c r="I909">
        <v>300</v>
      </c>
      <c r="J909">
        <v>1200</v>
      </c>
      <c r="K909">
        <v>1200</v>
      </c>
      <c r="L909">
        <v>2023</v>
      </c>
      <c r="M909">
        <v>789</v>
      </c>
      <c r="N909">
        <v>45199</v>
      </c>
      <c r="O909" t="str">
        <v>September</v>
      </c>
      <c r="P909" t="str">
        <v>CUST789</v>
      </c>
      <c r="Q909" t="str">
        <v>Female</v>
      </c>
      <c r="R909">
        <v>61</v>
      </c>
      <c r="S909" t="str">
        <v>Clothing</v>
      </c>
      <c r="T909">
        <v>4</v>
      </c>
      <c r="U909">
        <v>500</v>
      </c>
      <c r="V909">
        <v>2000</v>
      </c>
      <c r="W909">
        <v>2000</v>
      </c>
      <c r="X909">
        <v>2023</v>
      </c>
    </row>
    <row r="910" spans="1:24" x14ac:dyDescent="0.35">
      <c r="A910">
        <v>909</v>
      </c>
      <c r="B910" s="1">
        <v>45200</v>
      </c>
      <c r="C910" s="2" t="s">
        <v>33</v>
      </c>
      <c r="D910" s="2" t="s">
        <v>937</v>
      </c>
      <c r="E910" s="2" t="s">
        <v>14</v>
      </c>
      <c r="F910">
        <v>26</v>
      </c>
      <c r="G910" s="2" t="s">
        <v>22</v>
      </c>
      <c r="H910">
        <v>1</v>
      </c>
      <c r="I910">
        <v>300</v>
      </c>
      <c r="J910">
        <v>300</v>
      </c>
      <c r="K910">
        <v>300</v>
      </c>
      <c r="L910">
        <v>2023</v>
      </c>
      <c r="M910">
        <v>790</v>
      </c>
      <c r="N910">
        <v>45146</v>
      </c>
      <c r="O910" t="str">
        <v>August</v>
      </c>
      <c r="P910" t="str">
        <v>CUST790</v>
      </c>
      <c r="Q910" t="str">
        <v>Male</v>
      </c>
      <c r="R910">
        <v>62</v>
      </c>
      <c r="S910" t="str">
        <v>Clothing</v>
      </c>
      <c r="T910">
        <v>1</v>
      </c>
      <c r="U910">
        <v>25</v>
      </c>
      <c r="V910">
        <v>25</v>
      </c>
      <c r="W910">
        <v>25</v>
      </c>
      <c r="X910">
        <v>2023</v>
      </c>
    </row>
    <row r="911" spans="1:24" x14ac:dyDescent="0.35">
      <c r="A911">
        <v>910</v>
      </c>
      <c r="B911" s="1">
        <v>44991</v>
      </c>
      <c r="C911" s="2" t="s">
        <v>28</v>
      </c>
      <c r="D911" s="2" t="s">
        <v>938</v>
      </c>
      <c r="E911" s="2" t="s">
        <v>18</v>
      </c>
      <c r="F911">
        <v>20</v>
      </c>
      <c r="G911" s="2" t="s">
        <v>15</v>
      </c>
      <c r="H911">
        <v>3</v>
      </c>
      <c r="I911">
        <v>50</v>
      </c>
      <c r="J911">
        <v>150</v>
      </c>
      <c r="K911">
        <v>150</v>
      </c>
      <c r="L911">
        <v>2023</v>
      </c>
      <c r="M911">
        <v>791</v>
      </c>
      <c r="N911">
        <v>45265</v>
      </c>
      <c r="O911" t="str">
        <v>December</v>
      </c>
      <c r="P911" t="str">
        <v>CUST791</v>
      </c>
      <c r="Q911" t="str">
        <v>Female</v>
      </c>
      <c r="R911">
        <v>51</v>
      </c>
      <c r="S911" t="str">
        <v>Beauty</v>
      </c>
      <c r="T911">
        <v>1</v>
      </c>
      <c r="U911">
        <v>25</v>
      </c>
      <c r="V911">
        <v>25</v>
      </c>
      <c r="W911">
        <v>25</v>
      </c>
      <c r="X911">
        <v>2023</v>
      </c>
    </row>
    <row r="912" spans="1:24" x14ac:dyDescent="0.35">
      <c r="A912">
        <v>911</v>
      </c>
      <c r="B912" s="1">
        <v>45067</v>
      </c>
      <c r="C912" s="2" t="s">
        <v>23</v>
      </c>
      <c r="D912" s="2" t="s">
        <v>939</v>
      </c>
      <c r="E912" s="2" t="s">
        <v>14</v>
      </c>
      <c r="F912">
        <v>42</v>
      </c>
      <c r="G912" s="2" t="s">
        <v>22</v>
      </c>
      <c r="H912">
        <v>3</v>
      </c>
      <c r="I912">
        <v>300</v>
      </c>
      <c r="J912">
        <v>900</v>
      </c>
      <c r="K912">
        <v>900</v>
      </c>
      <c r="L912">
        <v>2023</v>
      </c>
      <c r="M912">
        <v>792</v>
      </c>
      <c r="N912">
        <v>45116</v>
      </c>
      <c r="O912" t="str">
        <v>July</v>
      </c>
      <c r="P912" t="str">
        <v>CUST792</v>
      </c>
      <c r="Q912" t="str">
        <v>Female</v>
      </c>
      <c r="R912">
        <v>20</v>
      </c>
      <c r="S912" t="str">
        <v>Beauty</v>
      </c>
      <c r="T912">
        <v>1</v>
      </c>
      <c r="U912">
        <v>50</v>
      </c>
      <c r="V912">
        <v>50</v>
      </c>
      <c r="W912">
        <v>50</v>
      </c>
      <c r="X912">
        <v>2023</v>
      </c>
    </row>
    <row r="913" spans="1:24" x14ac:dyDescent="0.35">
      <c r="A913">
        <v>912</v>
      </c>
      <c r="B913" s="1">
        <v>44950</v>
      </c>
      <c r="C913" s="2" t="s">
        <v>20</v>
      </c>
      <c r="D913" s="2" t="s">
        <v>940</v>
      </c>
      <c r="E913" s="2" t="s">
        <v>14</v>
      </c>
      <c r="F913">
        <v>51</v>
      </c>
      <c r="G913" s="2" t="s">
        <v>15</v>
      </c>
      <c r="H913">
        <v>3</v>
      </c>
      <c r="I913">
        <v>50</v>
      </c>
      <c r="J913">
        <v>150</v>
      </c>
      <c r="K913">
        <v>150</v>
      </c>
      <c r="L913">
        <v>2023</v>
      </c>
      <c r="M913">
        <v>793</v>
      </c>
      <c r="N913">
        <v>44962</v>
      </c>
      <c r="O913" t="str">
        <v>February</v>
      </c>
      <c r="P913" t="str">
        <v>CUST793</v>
      </c>
      <c r="Q913" t="str">
        <v>Male</v>
      </c>
      <c r="R913">
        <v>54</v>
      </c>
      <c r="S913" t="str">
        <v>Beauty</v>
      </c>
      <c r="T913">
        <v>1</v>
      </c>
      <c r="U913">
        <v>30</v>
      </c>
      <c r="V913">
        <v>30</v>
      </c>
      <c r="W913">
        <v>30</v>
      </c>
      <c r="X913">
        <v>2023</v>
      </c>
    </row>
    <row r="914" spans="1:24" x14ac:dyDescent="0.35">
      <c r="A914">
        <v>913</v>
      </c>
      <c r="B914" s="1">
        <v>44954</v>
      </c>
      <c r="C914" s="2" t="s">
        <v>20</v>
      </c>
      <c r="D914" s="2" t="s">
        <v>941</v>
      </c>
      <c r="E914" s="2" t="s">
        <v>14</v>
      </c>
      <c r="F914">
        <v>29</v>
      </c>
      <c r="G914" s="2" t="s">
        <v>22</v>
      </c>
      <c r="H914">
        <v>3</v>
      </c>
      <c r="I914">
        <v>30</v>
      </c>
      <c r="J914">
        <v>90</v>
      </c>
      <c r="K914">
        <v>90</v>
      </c>
      <c r="L914">
        <v>2023</v>
      </c>
      <c r="M914">
        <v>794</v>
      </c>
      <c r="N914">
        <v>45186</v>
      </c>
      <c r="O914" t="str">
        <v>September</v>
      </c>
      <c r="P914" t="str">
        <v>CUST794</v>
      </c>
      <c r="Q914" t="str">
        <v>Female</v>
      </c>
      <c r="R914">
        <v>60</v>
      </c>
      <c r="S914" t="str">
        <v>Beauty</v>
      </c>
      <c r="T914">
        <v>1</v>
      </c>
      <c r="U914">
        <v>300</v>
      </c>
      <c r="V914">
        <v>300</v>
      </c>
      <c r="W914">
        <v>300</v>
      </c>
      <c r="X914">
        <v>2023</v>
      </c>
    </row>
    <row r="915" spans="1:24" x14ac:dyDescent="0.35">
      <c r="A915">
        <v>914</v>
      </c>
      <c r="B915" s="1">
        <v>45210</v>
      </c>
      <c r="C915" s="2" t="s">
        <v>33</v>
      </c>
      <c r="D915" s="2" t="s">
        <v>942</v>
      </c>
      <c r="E915" s="2" t="s">
        <v>18</v>
      </c>
      <c r="F915">
        <v>59</v>
      </c>
      <c r="G915" s="2" t="s">
        <v>22</v>
      </c>
      <c r="H915">
        <v>1</v>
      </c>
      <c r="I915">
        <v>500</v>
      </c>
      <c r="J915">
        <v>500</v>
      </c>
      <c r="K915">
        <v>500</v>
      </c>
      <c r="L915">
        <v>2023</v>
      </c>
      <c r="M915">
        <v>795</v>
      </c>
      <c r="N915">
        <v>45258</v>
      </c>
      <c r="O915" t="str">
        <v>November</v>
      </c>
      <c r="P915" t="str">
        <v>CUST795</v>
      </c>
      <c r="Q915" t="str">
        <v>Male</v>
      </c>
      <c r="R915">
        <v>57</v>
      </c>
      <c r="S915" t="str">
        <v>Electronics</v>
      </c>
      <c r="T915">
        <v>1</v>
      </c>
      <c r="U915">
        <v>300</v>
      </c>
      <c r="V915">
        <v>300</v>
      </c>
      <c r="W915">
        <v>300</v>
      </c>
      <c r="X915">
        <v>2023</v>
      </c>
    </row>
    <row r="916" spans="1:24" x14ac:dyDescent="0.35">
      <c r="A916">
        <v>915</v>
      </c>
      <c r="B916" s="1">
        <v>45076</v>
      </c>
      <c r="C916" s="2" t="s">
        <v>23</v>
      </c>
      <c r="D916" s="2" t="s">
        <v>943</v>
      </c>
      <c r="E916" s="2" t="s">
        <v>18</v>
      </c>
      <c r="F916">
        <v>26</v>
      </c>
      <c r="G916" s="2" t="s">
        <v>15</v>
      </c>
      <c r="H916">
        <v>3</v>
      </c>
      <c r="I916">
        <v>30</v>
      </c>
      <c r="J916">
        <v>90</v>
      </c>
      <c r="K916">
        <v>90</v>
      </c>
      <c r="L916">
        <v>2023</v>
      </c>
      <c r="M916">
        <v>796</v>
      </c>
      <c r="N916">
        <v>45101</v>
      </c>
      <c r="O916" t="str">
        <v>June</v>
      </c>
      <c r="P916" t="str">
        <v>CUST796</v>
      </c>
      <c r="Q916" t="str">
        <v>Male</v>
      </c>
      <c r="R916">
        <v>43</v>
      </c>
      <c r="S916" t="str">
        <v>Beauty</v>
      </c>
      <c r="T916">
        <v>4</v>
      </c>
      <c r="U916">
        <v>30</v>
      </c>
      <c r="V916">
        <v>120</v>
      </c>
      <c r="W916">
        <v>120</v>
      </c>
      <c r="X916">
        <v>2023</v>
      </c>
    </row>
    <row r="917" spans="1:24" x14ac:dyDescent="0.35">
      <c r="A917">
        <v>916</v>
      </c>
      <c r="B917" s="1">
        <v>45284</v>
      </c>
      <c r="C917" s="2" t="s">
        <v>31</v>
      </c>
      <c r="D917" s="2" t="s">
        <v>944</v>
      </c>
      <c r="E917" s="2" t="s">
        <v>18</v>
      </c>
      <c r="F917">
        <v>32</v>
      </c>
      <c r="G917" s="2" t="s">
        <v>22</v>
      </c>
      <c r="H917">
        <v>1</v>
      </c>
      <c r="I917">
        <v>50</v>
      </c>
      <c r="J917">
        <v>50</v>
      </c>
      <c r="K917">
        <v>50</v>
      </c>
      <c r="L917">
        <v>2023</v>
      </c>
      <c r="M917">
        <v>797</v>
      </c>
      <c r="N917">
        <v>44933</v>
      </c>
      <c r="O917" t="str">
        <v>January</v>
      </c>
      <c r="P917" t="str">
        <v>CUST797</v>
      </c>
      <c r="Q917" t="str">
        <v>Male</v>
      </c>
      <c r="R917">
        <v>40</v>
      </c>
      <c r="S917" t="str">
        <v>Clothing</v>
      </c>
      <c r="T917">
        <v>3</v>
      </c>
      <c r="U917">
        <v>25</v>
      </c>
      <c r="V917">
        <v>75</v>
      </c>
      <c r="W917">
        <v>75</v>
      </c>
      <c r="X917">
        <v>2023</v>
      </c>
    </row>
    <row r="918" spans="1:24" x14ac:dyDescent="0.35">
      <c r="A918">
        <v>917</v>
      </c>
      <c r="B918" s="1">
        <v>44991</v>
      </c>
      <c r="C918" s="2" t="s">
        <v>28</v>
      </c>
      <c r="D918" s="2" t="s">
        <v>945</v>
      </c>
      <c r="E918" s="2" t="s">
        <v>18</v>
      </c>
      <c r="F918">
        <v>57</v>
      </c>
      <c r="G918" s="2" t="s">
        <v>22</v>
      </c>
      <c r="H918">
        <v>4</v>
      </c>
      <c r="I918">
        <v>50</v>
      </c>
      <c r="J918">
        <v>200</v>
      </c>
      <c r="K918">
        <v>200</v>
      </c>
      <c r="L918">
        <v>2023</v>
      </c>
      <c r="M918">
        <v>798</v>
      </c>
      <c r="N918">
        <v>45142</v>
      </c>
      <c r="O918" t="str">
        <v>August</v>
      </c>
      <c r="P918" t="str">
        <v>CUST798</v>
      </c>
      <c r="Q918" t="str">
        <v>Male</v>
      </c>
      <c r="R918">
        <v>61</v>
      </c>
      <c r="S918" t="str">
        <v>Clothing</v>
      </c>
      <c r="T918">
        <v>1</v>
      </c>
      <c r="U918">
        <v>50</v>
      </c>
      <c r="V918">
        <v>50</v>
      </c>
      <c r="W918">
        <v>50</v>
      </c>
      <c r="X918">
        <v>2023</v>
      </c>
    </row>
    <row r="919" spans="1:24" x14ac:dyDescent="0.35">
      <c r="A919">
        <v>918</v>
      </c>
      <c r="B919" s="1">
        <v>45253</v>
      </c>
      <c r="C919" s="2" t="s">
        <v>12</v>
      </c>
      <c r="D919" s="2" t="s">
        <v>946</v>
      </c>
      <c r="E919" s="2" t="s">
        <v>18</v>
      </c>
      <c r="F919">
        <v>42</v>
      </c>
      <c r="G919" s="2" t="s">
        <v>22</v>
      </c>
      <c r="H919">
        <v>3</v>
      </c>
      <c r="I919">
        <v>30</v>
      </c>
      <c r="J919">
        <v>90</v>
      </c>
      <c r="K919">
        <v>90</v>
      </c>
      <c r="L919">
        <v>2023</v>
      </c>
      <c r="M919">
        <v>799</v>
      </c>
      <c r="N919">
        <v>45177</v>
      </c>
      <c r="O919" t="str">
        <v>September</v>
      </c>
      <c r="P919" t="str">
        <v>CUST799</v>
      </c>
      <c r="Q919" t="str">
        <v>Male</v>
      </c>
      <c r="R919">
        <v>56</v>
      </c>
      <c r="S919" t="str">
        <v>Electronics</v>
      </c>
      <c r="T919">
        <v>2</v>
      </c>
      <c r="U919">
        <v>50</v>
      </c>
      <c r="V919">
        <v>100</v>
      </c>
      <c r="W919">
        <v>100</v>
      </c>
      <c r="X919">
        <v>2023</v>
      </c>
    </row>
    <row r="920" spans="1:24" x14ac:dyDescent="0.35">
      <c r="A920">
        <v>919</v>
      </c>
      <c r="B920" s="1">
        <v>45178</v>
      </c>
      <c r="C920" s="2" t="s">
        <v>44</v>
      </c>
      <c r="D920" s="2" t="s">
        <v>947</v>
      </c>
      <c r="E920" s="2" t="s">
        <v>18</v>
      </c>
      <c r="F920">
        <v>22</v>
      </c>
      <c r="G920" s="2" t="s">
        <v>15</v>
      </c>
      <c r="H920">
        <v>2</v>
      </c>
      <c r="I920">
        <v>25</v>
      </c>
      <c r="J920">
        <v>50</v>
      </c>
      <c r="K920">
        <v>50</v>
      </c>
      <c r="L920">
        <v>2023</v>
      </c>
      <c r="M920">
        <v>800</v>
      </c>
      <c r="N920">
        <v>44981</v>
      </c>
      <c r="O920" t="str">
        <v>February</v>
      </c>
      <c r="P920" t="str">
        <v>CUST800</v>
      </c>
      <c r="Q920" t="str">
        <v>Male</v>
      </c>
      <c r="R920">
        <v>32</v>
      </c>
      <c r="S920" t="str">
        <v>Clothing</v>
      </c>
      <c r="T920">
        <v>4</v>
      </c>
      <c r="U920">
        <v>300</v>
      </c>
      <c r="V920">
        <v>1200</v>
      </c>
      <c r="W920">
        <v>1200</v>
      </c>
      <c r="X920">
        <v>2023</v>
      </c>
    </row>
    <row r="921" spans="1:24" x14ac:dyDescent="0.35">
      <c r="A921">
        <v>920</v>
      </c>
      <c r="B921" s="1">
        <v>44979</v>
      </c>
      <c r="C921" s="2" t="s">
        <v>16</v>
      </c>
      <c r="D921" s="2" t="s">
        <v>948</v>
      </c>
      <c r="E921" s="2" t="s">
        <v>18</v>
      </c>
      <c r="F921">
        <v>28</v>
      </c>
      <c r="G921" s="2" t="s">
        <v>15</v>
      </c>
      <c r="H921">
        <v>3</v>
      </c>
      <c r="I921">
        <v>25</v>
      </c>
      <c r="J921">
        <v>75</v>
      </c>
      <c r="K921">
        <v>75</v>
      </c>
      <c r="L921">
        <v>2023</v>
      </c>
      <c r="M921">
        <v>801</v>
      </c>
      <c r="N921">
        <v>45148</v>
      </c>
      <c r="O921" t="str">
        <v>August</v>
      </c>
      <c r="P921" t="str">
        <v>CUST801</v>
      </c>
      <c r="Q921" t="str">
        <v>Male</v>
      </c>
      <c r="R921">
        <v>21</v>
      </c>
      <c r="S921" t="str">
        <v>Clothing</v>
      </c>
      <c r="T921">
        <v>4</v>
      </c>
      <c r="U921">
        <v>50</v>
      </c>
      <c r="V921">
        <v>200</v>
      </c>
      <c r="W921">
        <v>200</v>
      </c>
      <c r="X921">
        <v>2023</v>
      </c>
    </row>
    <row r="922" spans="1:24" x14ac:dyDescent="0.35">
      <c r="A922">
        <v>921</v>
      </c>
      <c r="B922" s="1">
        <v>44933</v>
      </c>
      <c r="C922" s="2" t="s">
        <v>20</v>
      </c>
      <c r="D922" s="2" t="s">
        <v>949</v>
      </c>
      <c r="E922" s="2" t="s">
        <v>14</v>
      </c>
      <c r="F922">
        <v>51</v>
      </c>
      <c r="G922" s="2" t="s">
        <v>22</v>
      </c>
      <c r="H922">
        <v>3</v>
      </c>
      <c r="I922">
        <v>25</v>
      </c>
      <c r="J922">
        <v>75</v>
      </c>
      <c r="K922">
        <v>75</v>
      </c>
      <c r="L922">
        <v>2023</v>
      </c>
      <c r="M922">
        <v>802</v>
      </c>
      <c r="N922">
        <v>45112</v>
      </c>
      <c r="O922" t="str">
        <v>July</v>
      </c>
      <c r="P922" t="str">
        <v>CUST802</v>
      </c>
      <c r="Q922" t="str">
        <v>Female</v>
      </c>
      <c r="R922">
        <v>46</v>
      </c>
      <c r="S922" t="str">
        <v>Beauty</v>
      </c>
      <c r="T922">
        <v>1</v>
      </c>
      <c r="U922">
        <v>30</v>
      </c>
      <c r="V922">
        <v>30</v>
      </c>
      <c r="W922">
        <v>30</v>
      </c>
      <c r="X922">
        <v>2023</v>
      </c>
    </row>
    <row r="923" spans="1:24" x14ac:dyDescent="0.35">
      <c r="A923">
        <v>922</v>
      </c>
      <c r="B923" s="1">
        <v>45220</v>
      </c>
      <c r="C923" s="2" t="s">
        <v>33</v>
      </c>
      <c r="D923" s="2" t="s">
        <v>950</v>
      </c>
      <c r="E923" s="2" t="s">
        <v>14</v>
      </c>
      <c r="F923">
        <v>41</v>
      </c>
      <c r="G923" s="2" t="s">
        <v>22</v>
      </c>
      <c r="H923">
        <v>1</v>
      </c>
      <c r="I923">
        <v>50</v>
      </c>
      <c r="J923">
        <v>50</v>
      </c>
      <c r="K923">
        <v>50</v>
      </c>
      <c r="L923">
        <v>2023</v>
      </c>
      <c r="M923">
        <v>803</v>
      </c>
      <c r="N923">
        <v>45252</v>
      </c>
      <c r="O923" t="str">
        <v>November</v>
      </c>
      <c r="P923" t="str">
        <v>CUST803</v>
      </c>
      <c r="Q923" t="str">
        <v>Male</v>
      </c>
      <c r="R923">
        <v>39</v>
      </c>
      <c r="S923" t="str">
        <v>Clothing</v>
      </c>
      <c r="T923">
        <v>4</v>
      </c>
      <c r="U923">
        <v>25</v>
      </c>
      <c r="V923">
        <v>100</v>
      </c>
      <c r="W923">
        <v>100</v>
      </c>
      <c r="X923">
        <v>2023</v>
      </c>
    </row>
    <row r="924" spans="1:24" x14ac:dyDescent="0.35">
      <c r="A924">
        <v>923</v>
      </c>
      <c r="B924" s="1">
        <v>45072</v>
      </c>
      <c r="C924" s="2" t="s">
        <v>23</v>
      </c>
      <c r="D924" s="2" t="s">
        <v>951</v>
      </c>
      <c r="E924" s="2" t="s">
        <v>14</v>
      </c>
      <c r="F924">
        <v>32</v>
      </c>
      <c r="G924" s="2" t="s">
        <v>15</v>
      </c>
      <c r="H924">
        <v>3</v>
      </c>
      <c r="I924">
        <v>300</v>
      </c>
      <c r="J924">
        <v>900</v>
      </c>
      <c r="K924">
        <v>900</v>
      </c>
      <c r="L924">
        <v>2023</v>
      </c>
      <c r="M924">
        <v>804</v>
      </c>
      <c r="N924">
        <v>45162</v>
      </c>
      <c r="O924" t="str">
        <v>August</v>
      </c>
      <c r="P924" t="str">
        <v>CUST804</v>
      </c>
      <c r="Q924" t="str">
        <v>Male</v>
      </c>
      <c r="R924">
        <v>42</v>
      </c>
      <c r="S924" t="str">
        <v>Electronics</v>
      </c>
      <c r="T924">
        <v>1</v>
      </c>
      <c r="U924">
        <v>30</v>
      </c>
      <c r="V924">
        <v>30</v>
      </c>
      <c r="W924">
        <v>30</v>
      </c>
      <c r="X924">
        <v>2023</v>
      </c>
    </row>
    <row r="925" spans="1:24" x14ac:dyDescent="0.35">
      <c r="A925">
        <v>924</v>
      </c>
      <c r="B925" s="1">
        <v>45167</v>
      </c>
      <c r="C925" s="2" t="s">
        <v>37</v>
      </c>
      <c r="D925" s="2" t="s">
        <v>952</v>
      </c>
      <c r="E925" s="2" t="s">
        <v>14</v>
      </c>
      <c r="F925">
        <v>55</v>
      </c>
      <c r="G925" s="2" t="s">
        <v>15</v>
      </c>
      <c r="H925">
        <v>2</v>
      </c>
      <c r="I925">
        <v>50</v>
      </c>
      <c r="J925">
        <v>100</v>
      </c>
      <c r="K925">
        <v>100</v>
      </c>
      <c r="L925">
        <v>2023</v>
      </c>
      <c r="M925">
        <v>805</v>
      </c>
      <c r="N925">
        <v>45289</v>
      </c>
      <c r="O925" t="str">
        <v>December</v>
      </c>
      <c r="P925" t="str">
        <v>CUST805</v>
      </c>
      <c r="Q925" t="str">
        <v>Female</v>
      </c>
      <c r="R925">
        <v>30</v>
      </c>
      <c r="S925" t="str">
        <v>Beauty</v>
      </c>
      <c r="T925">
        <v>3</v>
      </c>
      <c r="U925">
        <v>500</v>
      </c>
      <c r="V925">
        <v>1500</v>
      </c>
      <c r="W925">
        <v>1500</v>
      </c>
      <c r="X925">
        <v>2023</v>
      </c>
    </row>
    <row r="926" spans="1:24" x14ac:dyDescent="0.35">
      <c r="A926">
        <v>925</v>
      </c>
      <c r="B926" s="1">
        <v>45172</v>
      </c>
      <c r="C926" s="2" t="s">
        <v>44</v>
      </c>
      <c r="D926" s="2" t="s">
        <v>953</v>
      </c>
      <c r="E926" s="2" t="s">
        <v>14</v>
      </c>
      <c r="F926">
        <v>25</v>
      </c>
      <c r="G926" s="2" t="s">
        <v>22</v>
      </c>
      <c r="H926">
        <v>1</v>
      </c>
      <c r="I926">
        <v>300</v>
      </c>
      <c r="J926">
        <v>300</v>
      </c>
      <c r="K926">
        <v>300</v>
      </c>
      <c r="L926">
        <v>2023</v>
      </c>
      <c r="M926">
        <v>806</v>
      </c>
      <c r="N926">
        <v>45005</v>
      </c>
      <c r="O926" t="str">
        <v>March</v>
      </c>
      <c r="P926" t="str">
        <v>CUST806</v>
      </c>
      <c r="Q926" t="str">
        <v>Female</v>
      </c>
      <c r="R926">
        <v>35</v>
      </c>
      <c r="S926" t="str">
        <v>Beauty</v>
      </c>
      <c r="T926">
        <v>3</v>
      </c>
      <c r="U926">
        <v>300</v>
      </c>
      <c r="V926">
        <v>900</v>
      </c>
      <c r="W926">
        <v>900</v>
      </c>
      <c r="X926">
        <v>2023</v>
      </c>
    </row>
    <row r="927" spans="1:24" x14ac:dyDescent="0.35">
      <c r="A927">
        <v>926</v>
      </c>
      <c r="B927" s="1">
        <v>45152</v>
      </c>
      <c r="C927" s="2" t="s">
        <v>37</v>
      </c>
      <c r="D927" s="2" t="s">
        <v>954</v>
      </c>
      <c r="E927" s="2" t="s">
        <v>14</v>
      </c>
      <c r="F927">
        <v>22</v>
      </c>
      <c r="G927" s="2" t="s">
        <v>22</v>
      </c>
      <c r="H927">
        <v>1</v>
      </c>
      <c r="I927">
        <v>30</v>
      </c>
      <c r="J927">
        <v>30</v>
      </c>
      <c r="K927">
        <v>30</v>
      </c>
      <c r="L927">
        <v>2023</v>
      </c>
      <c r="M927">
        <v>807</v>
      </c>
      <c r="N927">
        <v>45149</v>
      </c>
      <c r="O927" t="str">
        <v>August</v>
      </c>
      <c r="P927" t="str">
        <v>CUST807</v>
      </c>
      <c r="Q927" t="str">
        <v>Female</v>
      </c>
      <c r="R927">
        <v>50</v>
      </c>
      <c r="S927" t="str">
        <v>Electronics</v>
      </c>
      <c r="T927">
        <v>4</v>
      </c>
      <c r="U927">
        <v>50</v>
      </c>
      <c r="V927">
        <v>200</v>
      </c>
      <c r="W927">
        <v>200</v>
      </c>
      <c r="X927">
        <v>2023</v>
      </c>
    </row>
    <row r="928" spans="1:24" x14ac:dyDescent="0.35">
      <c r="A928">
        <v>927</v>
      </c>
      <c r="B928" s="1">
        <v>45101</v>
      </c>
      <c r="C928" s="2" t="s">
        <v>62</v>
      </c>
      <c r="D928" s="2" t="s">
        <v>955</v>
      </c>
      <c r="E928" s="2" t="s">
        <v>14</v>
      </c>
      <c r="F928">
        <v>43</v>
      </c>
      <c r="G928" s="2" t="s">
        <v>22</v>
      </c>
      <c r="H928">
        <v>4</v>
      </c>
      <c r="I928">
        <v>500</v>
      </c>
      <c r="J928">
        <v>2000</v>
      </c>
      <c r="K928">
        <v>2000</v>
      </c>
      <c r="L928">
        <v>2023</v>
      </c>
      <c r="M928">
        <v>808</v>
      </c>
      <c r="N928">
        <v>45017</v>
      </c>
      <c r="O928" t="str">
        <v>April</v>
      </c>
      <c r="P928" t="str">
        <v>CUST808</v>
      </c>
      <c r="Q928" t="str">
        <v>Male</v>
      </c>
      <c r="R928">
        <v>33</v>
      </c>
      <c r="S928" t="str">
        <v>Beauty</v>
      </c>
      <c r="T928">
        <v>4</v>
      </c>
      <c r="U928">
        <v>500</v>
      </c>
      <c r="V928">
        <v>2000</v>
      </c>
      <c r="W928">
        <v>2000</v>
      </c>
      <c r="X928">
        <v>2023</v>
      </c>
    </row>
    <row r="929" spans="1:24" x14ac:dyDescent="0.35">
      <c r="A929">
        <v>928</v>
      </c>
      <c r="B929" s="1">
        <v>45021</v>
      </c>
      <c r="C929" s="2" t="s">
        <v>26</v>
      </c>
      <c r="D929" s="2" t="s">
        <v>956</v>
      </c>
      <c r="E929" s="2" t="s">
        <v>18</v>
      </c>
      <c r="F929">
        <v>35</v>
      </c>
      <c r="G929" s="2" t="s">
        <v>19</v>
      </c>
      <c r="H929">
        <v>4</v>
      </c>
      <c r="I929">
        <v>300</v>
      </c>
      <c r="J929">
        <v>1200</v>
      </c>
      <c r="K929">
        <v>1200</v>
      </c>
      <c r="L929">
        <v>2023</v>
      </c>
      <c r="M929">
        <v>809</v>
      </c>
      <c r="N929">
        <v>45194</v>
      </c>
      <c r="O929" t="str">
        <v>September</v>
      </c>
      <c r="P929" t="str">
        <v>CUST809</v>
      </c>
      <c r="Q929" t="str">
        <v>Female</v>
      </c>
      <c r="R929">
        <v>62</v>
      </c>
      <c r="S929" t="str">
        <v>Beauty</v>
      </c>
      <c r="T929">
        <v>2</v>
      </c>
      <c r="U929">
        <v>50</v>
      </c>
      <c r="V929">
        <v>100</v>
      </c>
      <c r="W929">
        <v>100</v>
      </c>
      <c r="X929">
        <v>2023</v>
      </c>
    </row>
    <row r="930" spans="1:24" x14ac:dyDescent="0.35">
      <c r="A930">
        <v>929</v>
      </c>
      <c r="B930" s="1">
        <v>44953</v>
      </c>
      <c r="C930" s="2" t="s">
        <v>20</v>
      </c>
      <c r="D930" s="2" t="s">
        <v>957</v>
      </c>
      <c r="E930" s="2" t="s">
        <v>18</v>
      </c>
      <c r="F930">
        <v>23</v>
      </c>
      <c r="G930" s="2" t="s">
        <v>15</v>
      </c>
      <c r="H930">
        <v>3</v>
      </c>
      <c r="I930">
        <v>25</v>
      </c>
      <c r="J930">
        <v>75</v>
      </c>
      <c r="K930">
        <v>75</v>
      </c>
      <c r="L930">
        <v>2023</v>
      </c>
      <c r="M930">
        <v>810</v>
      </c>
      <c r="N930">
        <v>45260</v>
      </c>
      <c r="O930" t="str">
        <v>November</v>
      </c>
      <c r="P930" t="str">
        <v>CUST810</v>
      </c>
      <c r="Q930" t="str">
        <v>Male</v>
      </c>
      <c r="R930">
        <v>59</v>
      </c>
      <c r="S930" t="str">
        <v>Electronics</v>
      </c>
      <c r="T930">
        <v>4</v>
      </c>
      <c r="U930">
        <v>25</v>
      </c>
      <c r="V930">
        <v>100</v>
      </c>
      <c r="W930">
        <v>100</v>
      </c>
      <c r="X930">
        <v>2023</v>
      </c>
    </row>
    <row r="931" spans="1:24" x14ac:dyDescent="0.35">
      <c r="A931">
        <v>930</v>
      </c>
      <c r="B931" s="1">
        <v>45056</v>
      </c>
      <c r="C931" s="2" t="s">
        <v>23</v>
      </c>
      <c r="D931" s="2" t="s">
        <v>958</v>
      </c>
      <c r="E931" s="2" t="s">
        <v>14</v>
      </c>
      <c r="F931">
        <v>54</v>
      </c>
      <c r="G931" s="2" t="s">
        <v>19</v>
      </c>
      <c r="H931">
        <v>4</v>
      </c>
      <c r="I931">
        <v>50</v>
      </c>
      <c r="J931">
        <v>200</v>
      </c>
      <c r="K931">
        <v>200</v>
      </c>
      <c r="L931">
        <v>2023</v>
      </c>
      <c r="M931">
        <v>811</v>
      </c>
      <c r="N931">
        <v>45065</v>
      </c>
      <c r="O931" t="str">
        <v>May</v>
      </c>
      <c r="P931" t="str">
        <v>CUST811</v>
      </c>
      <c r="Q931" t="str">
        <v>Male</v>
      </c>
      <c r="R931">
        <v>61</v>
      </c>
      <c r="S931" t="str">
        <v>Beauty</v>
      </c>
      <c r="T931">
        <v>2</v>
      </c>
      <c r="U931">
        <v>25</v>
      </c>
      <c r="V931">
        <v>50</v>
      </c>
      <c r="W931">
        <v>50</v>
      </c>
      <c r="X931">
        <v>2023</v>
      </c>
    </row>
    <row r="932" spans="1:24" x14ac:dyDescent="0.35">
      <c r="A932">
        <v>931</v>
      </c>
      <c r="B932" s="1">
        <v>45171</v>
      </c>
      <c r="C932" s="2" t="s">
        <v>44</v>
      </c>
      <c r="D932" s="2" t="s">
        <v>959</v>
      </c>
      <c r="E932" s="2" t="s">
        <v>14</v>
      </c>
      <c r="F932">
        <v>30</v>
      </c>
      <c r="G932" s="2" t="s">
        <v>15</v>
      </c>
      <c r="H932">
        <v>4</v>
      </c>
      <c r="I932">
        <v>30</v>
      </c>
      <c r="J932">
        <v>120</v>
      </c>
      <c r="K932">
        <v>120</v>
      </c>
      <c r="L932">
        <v>2023</v>
      </c>
      <c r="M932">
        <v>812</v>
      </c>
      <c r="N932">
        <v>45242</v>
      </c>
      <c r="O932" t="str">
        <v>November</v>
      </c>
      <c r="P932" t="str">
        <v>CUST812</v>
      </c>
      <c r="Q932" t="str">
        <v>Male</v>
      </c>
      <c r="R932">
        <v>19</v>
      </c>
      <c r="S932" t="str">
        <v>Electronics</v>
      </c>
      <c r="T932">
        <v>3</v>
      </c>
      <c r="U932">
        <v>25</v>
      </c>
      <c r="V932">
        <v>75</v>
      </c>
      <c r="W932">
        <v>75</v>
      </c>
      <c r="X932">
        <v>2023</v>
      </c>
    </row>
    <row r="933" spans="1:24" x14ac:dyDescent="0.35">
      <c r="A933">
        <v>932</v>
      </c>
      <c r="B933" s="1">
        <v>44985</v>
      </c>
      <c r="C933" s="2" t="s">
        <v>16</v>
      </c>
      <c r="D933" s="2" t="s">
        <v>960</v>
      </c>
      <c r="E933" s="2" t="s">
        <v>18</v>
      </c>
      <c r="F933">
        <v>45</v>
      </c>
      <c r="G933" s="2" t="s">
        <v>15</v>
      </c>
      <c r="H933">
        <v>4</v>
      </c>
      <c r="I933">
        <v>25</v>
      </c>
      <c r="J933">
        <v>100</v>
      </c>
      <c r="K933">
        <v>100</v>
      </c>
      <c r="L933">
        <v>2023</v>
      </c>
      <c r="M933">
        <v>813</v>
      </c>
      <c r="N933">
        <v>45202</v>
      </c>
      <c r="O933" t="str">
        <v>October</v>
      </c>
      <c r="P933" t="str">
        <v>CUST813</v>
      </c>
      <c r="Q933" t="str">
        <v>Male</v>
      </c>
      <c r="R933">
        <v>52</v>
      </c>
      <c r="S933" t="str">
        <v>Electronics</v>
      </c>
      <c r="T933">
        <v>3</v>
      </c>
      <c r="U933">
        <v>50</v>
      </c>
      <c r="V933">
        <v>150</v>
      </c>
      <c r="W933">
        <v>150</v>
      </c>
      <c r="X933">
        <v>2023</v>
      </c>
    </row>
    <row r="934" spans="1:24" x14ac:dyDescent="0.35">
      <c r="A934">
        <v>933</v>
      </c>
      <c r="B934" s="1">
        <v>44960</v>
      </c>
      <c r="C934" s="2" t="s">
        <v>16</v>
      </c>
      <c r="D934" s="2" t="s">
        <v>961</v>
      </c>
      <c r="E934" s="2" t="s">
        <v>14</v>
      </c>
      <c r="F934">
        <v>22</v>
      </c>
      <c r="G934" s="2" t="s">
        <v>15</v>
      </c>
      <c r="H934">
        <v>1</v>
      </c>
      <c r="I934">
        <v>30</v>
      </c>
      <c r="J934">
        <v>30</v>
      </c>
      <c r="K934">
        <v>30</v>
      </c>
      <c r="L934">
        <v>2023</v>
      </c>
      <c r="M934">
        <v>814</v>
      </c>
      <c r="N934">
        <v>45174</v>
      </c>
      <c r="O934" t="str">
        <v>September</v>
      </c>
      <c r="P934" t="str">
        <v>CUST814</v>
      </c>
      <c r="Q934" t="str">
        <v>Female</v>
      </c>
      <c r="R934">
        <v>59</v>
      </c>
      <c r="S934" t="str">
        <v>Clothing</v>
      </c>
      <c r="T934">
        <v>1</v>
      </c>
      <c r="U934">
        <v>500</v>
      </c>
      <c r="V934">
        <v>500</v>
      </c>
      <c r="W934">
        <v>500</v>
      </c>
      <c r="X934">
        <v>2023</v>
      </c>
    </row>
    <row r="935" spans="1:24" x14ac:dyDescent="0.35">
      <c r="A935">
        <v>934</v>
      </c>
      <c r="B935" s="1">
        <v>45132</v>
      </c>
      <c r="C935" s="2" t="s">
        <v>70</v>
      </c>
      <c r="D935" s="2" t="s">
        <v>962</v>
      </c>
      <c r="E935" s="2" t="s">
        <v>14</v>
      </c>
      <c r="F935">
        <v>30</v>
      </c>
      <c r="G935" s="2" t="s">
        <v>15</v>
      </c>
      <c r="H935">
        <v>1</v>
      </c>
      <c r="I935">
        <v>500</v>
      </c>
      <c r="J935">
        <v>500</v>
      </c>
      <c r="K935">
        <v>500</v>
      </c>
      <c r="L935">
        <v>2023</v>
      </c>
      <c r="M935">
        <v>815</v>
      </c>
      <c r="N935">
        <v>45165</v>
      </c>
      <c r="O935" t="str">
        <v>August</v>
      </c>
      <c r="P935" t="str">
        <v>CUST815</v>
      </c>
      <c r="Q935" t="str">
        <v>Female</v>
      </c>
      <c r="R935">
        <v>51</v>
      </c>
      <c r="S935" t="str">
        <v>Clothing</v>
      </c>
      <c r="T935">
        <v>3</v>
      </c>
      <c r="U935">
        <v>25</v>
      </c>
      <c r="V935">
        <v>75</v>
      </c>
      <c r="W935">
        <v>75</v>
      </c>
      <c r="X935">
        <v>2023</v>
      </c>
    </row>
    <row r="936" spans="1:24" x14ac:dyDescent="0.35">
      <c r="A936">
        <v>935</v>
      </c>
      <c r="B936" s="1">
        <v>45178</v>
      </c>
      <c r="C936" s="2" t="s">
        <v>44</v>
      </c>
      <c r="D936" s="2" t="s">
        <v>963</v>
      </c>
      <c r="E936" s="2" t="s">
        <v>18</v>
      </c>
      <c r="F936">
        <v>34</v>
      </c>
      <c r="G936" s="2" t="s">
        <v>15</v>
      </c>
      <c r="H936">
        <v>1</v>
      </c>
      <c r="I936">
        <v>50</v>
      </c>
      <c r="J936">
        <v>50</v>
      </c>
      <c r="K936">
        <v>50</v>
      </c>
      <c r="L936">
        <v>2023</v>
      </c>
      <c r="M936">
        <v>816</v>
      </c>
      <c r="N936">
        <v>45150</v>
      </c>
      <c r="O936" t="str">
        <v>August</v>
      </c>
      <c r="P936" t="str">
        <v>CUST816</v>
      </c>
      <c r="Q936" t="str">
        <v>Male</v>
      </c>
      <c r="R936">
        <v>47</v>
      </c>
      <c r="S936" t="str">
        <v>Beauty</v>
      </c>
      <c r="T936">
        <v>2</v>
      </c>
      <c r="U936">
        <v>500</v>
      </c>
      <c r="V936">
        <v>1000</v>
      </c>
      <c r="W936">
        <v>1000</v>
      </c>
      <c r="X936">
        <v>2023</v>
      </c>
    </row>
    <row r="937" spans="1:24" x14ac:dyDescent="0.35">
      <c r="A937">
        <v>936</v>
      </c>
      <c r="B937" s="1">
        <v>44964</v>
      </c>
      <c r="C937" s="2" t="s">
        <v>16</v>
      </c>
      <c r="D937" s="2" t="s">
        <v>964</v>
      </c>
      <c r="E937" s="2" t="s">
        <v>14</v>
      </c>
      <c r="F937">
        <v>57</v>
      </c>
      <c r="G937" s="2" t="s">
        <v>15</v>
      </c>
      <c r="H937">
        <v>4</v>
      </c>
      <c r="I937">
        <v>50</v>
      </c>
      <c r="J937">
        <v>200</v>
      </c>
      <c r="K937">
        <v>200</v>
      </c>
      <c r="L937">
        <v>2023</v>
      </c>
      <c r="M937">
        <v>817</v>
      </c>
      <c r="N937">
        <v>45230</v>
      </c>
      <c r="O937" t="str">
        <v>October</v>
      </c>
      <c r="P937" t="str">
        <v>CUST817</v>
      </c>
      <c r="Q937" t="str">
        <v>Male</v>
      </c>
      <c r="R937">
        <v>30</v>
      </c>
      <c r="S937" t="str">
        <v>Beauty</v>
      </c>
      <c r="T937">
        <v>4</v>
      </c>
      <c r="U937">
        <v>50</v>
      </c>
      <c r="V937">
        <v>200</v>
      </c>
      <c r="W937">
        <v>200</v>
      </c>
      <c r="X937">
        <v>2023</v>
      </c>
    </row>
    <row r="938" spans="1:24" x14ac:dyDescent="0.35">
      <c r="A938">
        <v>937</v>
      </c>
      <c r="B938" s="1">
        <v>45222</v>
      </c>
      <c r="C938" s="2" t="s">
        <v>33</v>
      </c>
      <c r="D938" s="2" t="s">
        <v>965</v>
      </c>
      <c r="E938" s="2" t="s">
        <v>18</v>
      </c>
      <c r="F938">
        <v>62</v>
      </c>
      <c r="G938" s="2" t="s">
        <v>15</v>
      </c>
      <c r="H938">
        <v>1</v>
      </c>
      <c r="I938">
        <v>500</v>
      </c>
      <c r="J938">
        <v>500</v>
      </c>
      <c r="K938">
        <v>500</v>
      </c>
      <c r="L938">
        <v>2023</v>
      </c>
      <c r="M938">
        <v>818</v>
      </c>
      <c r="N938">
        <v>45064</v>
      </c>
      <c r="O938" t="str">
        <v>May</v>
      </c>
      <c r="P938" t="str">
        <v>CUST818</v>
      </c>
      <c r="Q938" t="str">
        <v>Male</v>
      </c>
      <c r="R938">
        <v>30</v>
      </c>
      <c r="S938" t="str">
        <v>Electronics</v>
      </c>
      <c r="T938">
        <v>1</v>
      </c>
      <c r="U938">
        <v>500</v>
      </c>
      <c r="V938">
        <v>500</v>
      </c>
      <c r="W938">
        <v>500</v>
      </c>
      <c r="X938">
        <v>2023</v>
      </c>
    </row>
    <row r="939" spans="1:24" x14ac:dyDescent="0.35">
      <c r="A939">
        <v>938</v>
      </c>
      <c r="B939" s="1">
        <v>45249</v>
      </c>
      <c r="C939" s="2" t="s">
        <v>12</v>
      </c>
      <c r="D939" s="2" t="s">
        <v>966</v>
      </c>
      <c r="E939" s="2" t="s">
        <v>14</v>
      </c>
      <c r="F939">
        <v>49</v>
      </c>
      <c r="G939" s="2" t="s">
        <v>19</v>
      </c>
      <c r="H939">
        <v>4</v>
      </c>
      <c r="I939">
        <v>50</v>
      </c>
      <c r="J939">
        <v>200</v>
      </c>
      <c r="K939">
        <v>200</v>
      </c>
      <c r="L939">
        <v>2023</v>
      </c>
      <c r="M939">
        <v>819</v>
      </c>
      <c r="N939">
        <v>45092</v>
      </c>
      <c r="O939" t="str">
        <v>June</v>
      </c>
      <c r="P939" t="str">
        <v>CUST819</v>
      </c>
      <c r="Q939" t="str">
        <v>Female</v>
      </c>
      <c r="R939">
        <v>35</v>
      </c>
      <c r="S939" t="str">
        <v>Beauty</v>
      </c>
      <c r="T939">
        <v>2</v>
      </c>
      <c r="U939">
        <v>50</v>
      </c>
      <c r="V939">
        <v>100</v>
      </c>
      <c r="W939">
        <v>100</v>
      </c>
      <c r="X939">
        <v>2023</v>
      </c>
    </row>
    <row r="940" spans="1:24" x14ac:dyDescent="0.35">
      <c r="A940">
        <v>939</v>
      </c>
      <c r="B940" s="1">
        <v>45278</v>
      </c>
      <c r="C940" s="2" t="s">
        <v>31</v>
      </c>
      <c r="D940" s="2" t="s">
        <v>967</v>
      </c>
      <c r="E940" s="2" t="s">
        <v>18</v>
      </c>
      <c r="F940">
        <v>46</v>
      </c>
      <c r="G940" s="2" t="s">
        <v>22</v>
      </c>
      <c r="H940">
        <v>1</v>
      </c>
      <c r="I940">
        <v>300</v>
      </c>
      <c r="J940">
        <v>300</v>
      </c>
      <c r="K940">
        <v>300</v>
      </c>
      <c r="L940">
        <v>2023</v>
      </c>
      <c r="M940">
        <v>820</v>
      </c>
      <c r="N940">
        <v>45052</v>
      </c>
      <c r="O940" t="str">
        <v>May</v>
      </c>
      <c r="P940" t="str">
        <v>CUST820</v>
      </c>
      <c r="Q940" t="str">
        <v>Male</v>
      </c>
      <c r="R940">
        <v>49</v>
      </c>
      <c r="S940" t="str">
        <v>Electronics</v>
      </c>
      <c r="T940">
        <v>4</v>
      </c>
      <c r="U940">
        <v>50</v>
      </c>
      <c r="V940">
        <v>200</v>
      </c>
      <c r="W940">
        <v>200</v>
      </c>
      <c r="X940">
        <v>2023</v>
      </c>
    </row>
    <row r="941" spans="1:24" x14ac:dyDescent="0.35">
      <c r="A941">
        <v>940</v>
      </c>
      <c r="B941" s="1">
        <v>44954</v>
      </c>
      <c r="C941" s="2" t="s">
        <v>20</v>
      </c>
      <c r="D941" s="2" t="s">
        <v>968</v>
      </c>
      <c r="E941" s="2" t="s">
        <v>18</v>
      </c>
      <c r="F941">
        <v>20</v>
      </c>
      <c r="G941" s="2" t="s">
        <v>22</v>
      </c>
      <c r="H941">
        <v>1</v>
      </c>
      <c r="I941">
        <v>30</v>
      </c>
      <c r="J941">
        <v>30</v>
      </c>
      <c r="K941">
        <v>30</v>
      </c>
      <c r="L941">
        <v>2023</v>
      </c>
      <c r="M941">
        <v>821</v>
      </c>
      <c r="N941">
        <v>44971</v>
      </c>
      <c r="O941" t="str">
        <v>February</v>
      </c>
      <c r="P941" t="str">
        <v>CUST821</v>
      </c>
      <c r="Q941" t="str">
        <v>Male</v>
      </c>
      <c r="R941">
        <v>49</v>
      </c>
      <c r="S941" t="str">
        <v>Electronics</v>
      </c>
      <c r="T941">
        <v>1</v>
      </c>
      <c r="U941">
        <v>300</v>
      </c>
      <c r="V941">
        <v>300</v>
      </c>
      <c r="W941">
        <v>300</v>
      </c>
      <c r="X941">
        <v>2023</v>
      </c>
    </row>
    <row r="942" spans="1:24" x14ac:dyDescent="0.35">
      <c r="A942">
        <v>941</v>
      </c>
      <c r="B942" s="1">
        <v>45004</v>
      </c>
      <c r="C942" s="2" t="s">
        <v>28</v>
      </c>
      <c r="D942" s="2" t="s">
        <v>969</v>
      </c>
      <c r="E942" s="2" t="s">
        <v>18</v>
      </c>
      <c r="F942">
        <v>57</v>
      </c>
      <c r="G942" s="2" t="s">
        <v>19</v>
      </c>
      <c r="H942">
        <v>2</v>
      </c>
      <c r="I942">
        <v>25</v>
      </c>
      <c r="J942">
        <v>50</v>
      </c>
      <c r="K942">
        <v>50</v>
      </c>
      <c r="L942">
        <v>2023</v>
      </c>
      <c r="M942">
        <v>822</v>
      </c>
      <c r="N942">
        <v>45069</v>
      </c>
      <c r="O942" t="str">
        <v>May</v>
      </c>
      <c r="P942" t="str">
        <v>CUST822</v>
      </c>
      <c r="Q942" t="str">
        <v>Female</v>
      </c>
      <c r="R942">
        <v>52</v>
      </c>
      <c r="S942" t="str">
        <v>Beauty</v>
      </c>
      <c r="T942">
        <v>3</v>
      </c>
      <c r="U942">
        <v>50</v>
      </c>
      <c r="V942">
        <v>150</v>
      </c>
      <c r="W942">
        <v>150</v>
      </c>
      <c r="X942">
        <v>2023</v>
      </c>
    </row>
    <row r="943" spans="1:24" x14ac:dyDescent="0.35">
      <c r="A943">
        <v>942</v>
      </c>
      <c r="B943" s="1">
        <v>45003</v>
      </c>
      <c r="C943" s="2" t="s">
        <v>28</v>
      </c>
      <c r="D943" s="2" t="s">
        <v>970</v>
      </c>
      <c r="E943" s="2" t="s">
        <v>14</v>
      </c>
      <c r="F943">
        <v>51</v>
      </c>
      <c r="G943" s="2" t="s">
        <v>19</v>
      </c>
      <c r="H943">
        <v>3</v>
      </c>
      <c r="I943">
        <v>500</v>
      </c>
      <c r="J943">
        <v>1500</v>
      </c>
      <c r="K943">
        <v>1500</v>
      </c>
      <c r="L943">
        <v>2023</v>
      </c>
      <c r="M943">
        <v>823</v>
      </c>
      <c r="N943">
        <v>45157</v>
      </c>
      <c r="O943" t="str">
        <v>August</v>
      </c>
      <c r="P943" t="str">
        <v>CUST823</v>
      </c>
      <c r="Q943" t="str">
        <v>Female</v>
      </c>
      <c r="R943">
        <v>56</v>
      </c>
      <c r="S943" t="str">
        <v>Electronics</v>
      </c>
      <c r="T943">
        <v>2</v>
      </c>
      <c r="U943">
        <v>50</v>
      </c>
      <c r="V943">
        <v>100</v>
      </c>
      <c r="W943">
        <v>100</v>
      </c>
      <c r="X943">
        <v>2023</v>
      </c>
    </row>
    <row r="944" spans="1:24" x14ac:dyDescent="0.35">
      <c r="A944">
        <v>943</v>
      </c>
      <c r="B944" s="1">
        <v>45215</v>
      </c>
      <c r="C944" s="2" t="s">
        <v>33</v>
      </c>
      <c r="D944" s="2" t="s">
        <v>971</v>
      </c>
      <c r="E944" s="2" t="s">
        <v>18</v>
      </c>
      <c r="F944">
        <v>57</v>
      </c>
      <c r="G944" s="2" t="s">
        <v>19</v>
      </c>
      <c r="H944">
        <v>4</v>
      </c>
      <c r="I944">
        <v>300</v>
      </c>
      <c r="J944">
        <v>1200</v>
      </c>
      <c r="K944">
        <v>1200</v>
      </c>
      <c r="L944">
        <v>2023</v>
      </c>
      <c r="M944">
        <v>824</v>
      </c>
      <c r="N944">
        <v>45051</v>
      </c>
      <c r="O944" t="str">
        <v>May</v>
      </c>
      <c r="P944" t="str">
        <v>CUST824</v>
      </c>
      <c r="Q944" t="str">
        <v>Male</v>
      </c>
      <c r="R944">
        <v>63</v>
      </c>
      <c r="S944" t="str">
        <v>Clothing</v>
      </c>
      <c r="T944">
        <v>4</v>
      </c>
      <c r="U944">
        <v>30</v>
      </c>
      <c r="V944">
        <v>120</v>
      </c>
      <c r="W944">
        <v>120</v>
      </c>
      <c r="X944">
        <v>2023</v>
      </c>
    </row>
    <row r="945" spans="1:24" x14ac:dyDescent="0.35">
      <c r="A945">
        <v>944</v>
      </c>
      <c r="B945" s="1">
        <v>45082</v>
      </c>
      <c r="C945" s="2" t="s">
        <v>62</v>
      </c>
      <c r="D945" s="2" t="s">
        <v>972</v>
      </c>
      <c r="E945" s="2" t="s">
        <v>14</v>
      </c>
      <c r="F945">
        <v>44</v>
      </c>
      <c r="G945" s="2" t="s">
        <v>19</v>
      </c>
      <c r="H945">
        <v>2</v>
      </c>
      <c r="I945">
        <v>25</v>
      </c>
      <c r="J945">
        <v>50</v>
      </c>
      <c r="K945">
        <v>50</v>
      </c>
      <c r="L945">
        <v>2023</v>
      </c>
      <c r="M945">
        <v>825</v>
      </c>
      <c r="N945">
        <v>45164</v>
      </c>
      <c r="O945" t="str">
        <v>August</v>
      </c>
      <c r="P945" t="str">
        <v>CUST825</v>
      </c>
      <c r="Q945" t="str">
        <v>Female</v>
      </c>
      <c r="R945">
        <v>46</v>
      </c>
      <c r="S945" t="str">
        <v>Beauty</v>
      </c>
      <c r="T945">
        <v>1</v>
      </c>
      <c r="U945">
        <v>25</v>
      </c>
      <c r="V945">
        <v>25</v>
      </c>
      <c r="W945">
        <v>25</v>
      </c>
      <c r="X945">
        <v>2023</v>
      </c>
    </row>
    <row r="946" spans="1:24" x14ac:dyDescent="0.35">
      <c r="A946">
        <v>945</v>
      </c>
      <c r="B946" s="1">
        <v>44970</v>
      </c>
      <c r="C946" s="2" t="s">
        <v>16</v>
      </c>
      <c r="D946" s="2" t="s">
        <v>973</v>
      </c>
      <c r="E946" s="2" t="s">
        <v>14</v>
      </c>
      <c r="F946">
        <v>30</v>
      </c>
      <c r="G946" s="2" t="s">
        <v>15</v>
      </c>
      <c r="H946">
        <v>1</v>
      </c>
      <c r="I946">
        <v>25</v>
      </c>
      <c r="J946">
        <v>25</v>
      </c>
      <c r="K946">
        <v>25</v>
      </c>
      <c r="L946">
        <v>2023</v>
      </c>
      <c r="M946">
        <v>826</v>
      </c>
      <c r="N946">
        <v>45218</v>
      </c>
      <c r="O946" t="str">
        <v>October</v>
      </c>
      <c r="P946" t="str">
        <v>CUST826</v>
      </c>
      <c r="Q946" t="str">
        <v>Female</v>
      </c>
      <c r="R946">
        <v>46</v>
      </c>
      <c r="S946" t="str">
        <v>Clothing</v>
      </c>
      <c r="T946">
        <v>1</v>
      </c>
      <c r="U946">
        <v>300</v>
      </c>
      <c r="V946">
        <v>300</v>
      </c>
      <c r="W946">
        <v>300</v>
      </c>
      <c r="X946">
        <v>2023</v>
      </c>
    </row>
    <row r="947" spans="1:24" x14ac:dyDescent="0.35">
      <c r="A947">
        <v>946</v>
      </c>
      <c r="B947" s="1">
        <v>45054</v>
      </c>
      <c r="C947" s="2" t="s">
        <v>23</v>
      </c>
      <c r="D947" s="2" t="s">
        <v>974</v>
      </c>
      <c r="E947" s="2" t="s">
        <v>14</v>
      </c>
      <c r="F947">
        <v>62</v>
      </c>
      <c r="G947" s="2" t="s">
        <v>22</v>
      </c>
      <c r="H947">
        <v>4</v>
      </c>
      <c r="I947">
        <v>500</v>
      </c>
      <c r="J947">
        <v>2000</v>
      </c>
      <c r="K947">
        <v>2000</v>
      </c>
      <c r="L947">
        <v>2023</v>
      </c>
      <c r="M947">
        <v>827</v>
      </c>
      <c r="N947">
        <v>45239</v>
      </c>
      <c r="O947" t="str">
        <v>November</v>
      </c>
      <c r="P947" t="str">
        <v>CUST827</v>
      </c>
      <c r="Q947" t="str">
        <v>Male</v>
      </c>
      <c r="R947">
        <v>61</v>
      </c>
      <c r="S947" t="str">
        <v>Beauty</v>
      </c>
      <c r="T947">
        <v>3</v>
      </c>
      <c r="U947">
        <v>300</v>
      </c>
      <c r="V947">
        <v>900</v>
      </c>
      <c r="W947">
        <v>900</v>
      </c>
      <c r="X947">
        <v>2023</v>
      </c>
    </row>
    <row r="948" spans="1:24" x14ac:dyDescent="0.35">
      <c r="A948">
        <v>947</v>
      </c>
      <c r="B948" s="1">
        <v>44987</v>
      </c>
      <c r="C948" s="2" t="s">
        <v>28</v>
      </c>
      <c r="D948" s="2" t="s">
        <v>975</v>
      </c>
      <c r="E948" s="2" t="s">
        <v>14</v>
      </c>
      <c r="F948">
        <v>50</v>
      </c>
      <c r="G948" s="2" t="s">
        <v>15</v>
      </c>
      <c r="H948">
        <v>1</v>
      </c>
      <c r="I948">
        <v>300</v>
      </c>
      <c r="J948">
        <v>300</v>
      </c>
      <c r="K948">
        <v>300</v>
      </c>
      <c r="L948">
        <v>2023</v>
      </c>
      <c r="M948">
        <v>828</v>
      </c>
      <c r="N948">
        <v>45269</v>
      </c>
      <c r="O948" t="str">
        <v>December</v>
      </c>
      <c r="P948" t="str">
        <v>CUST828</v>
      </c>
      <c r="Q948" t="str">
        <v>Female</v>
      </c>
      <c r="R948">
        <v>33</v>
      </c>
      <c r="S948" t="str">
        <v>Electronics</v>
      </c>
      <c r="T948">
        <v>4</v>
      </c>
      <c r="U948">
        <v>300</v>
      </c>
      <c r="V948">
        <v>1200</v>
      </c>
      <c r="W948">
        <v>1200</v>
      </c>
      <c r="X948">
        <v>2023</v>
      </c>
    </row>
    <row r="949" spans="1:24" x14ac:dyDescent="0.35">
      <c r="A949">
        <v>948</v>
      </c>
      <c r="B949" s="1">
        <v>45212</v>
      </c>
      <c r="C949" s="2" t="s">
        <v>33</v>
      </c>
      <c r="D949" s="2" t="s">
        <v>976</v>
      </c>
      <c r="E949" s="2" t="s">
        <v>18</v>
      </c>
      <c r="F949">
        <v>23</v>
      </c>
      <c r="G949" s="2" t="s">
        <v>22</v>
      </c>
      <c r="H949">
        <v>3</v>
      </c>
      <c r="I949">
        <v>25</v>
      </c>
      <c r="J949">
        <v>75</v>
      </c>
      <c r="K949">
        <v>75</v>
      </c>
      <c r="L949">
        <v>2023</v>
      </c>
      <c r="M949">
        <v>829</v>
      </c>
      <c r="N949">
        <v>45121</v>
      </c>
      <c r="O949" t="str">
        <v>July</v>
      </c>
      <c r="P949" t="str">
        <v>CUST829</v>
      </c>
      <c r="Q949" t="str">
        <v>Male</v>
      </c>
      <c r="R949">
        <v>61</v>
      </c>
      <c r="S949" t="str">
        <v>Beauty</v>
      </c>
      <c r="T949">
        <v>3</v>
      </c>
      <c r="U949">
        <v>30</v>
      </c>
      <c r="V949">
        <v>90</v>
      </c>
      <c r="W949">
        <v>90</v>
      </c>
      <c r="X949">
        <v>2023</v>
      </c>
    </row>
    <row r="950" spans="1:24" x14ac:dyDescent="0.35">
      <c r="A950">
        <v>949</v>
      </c>
      <c r="B950" s="1">
        <v>45140</v>
      </c>
      <c r="C950" s="2" t="s">
        <v>37</v>
      </c>
      <c r="D950" s="2" t="s">
        <v>977</v>
      </c>
      <c r="E950" s="2" t="s">
        <v>18</v>
      </c>
      <c r="F950">
        <v>41</v>
      </c>
      <c r="G950" s="2" t="s">
        <v>22</v>
      </c>
      <c r="H950">
        <v>2</v>
      </c>
      <c r="I950">
        <v>25</v>
      </c>
      <c r="J950">
        <v>50</v>
      </c>
      <c r="K950">
        <v>50</v>
      </c>
      <c r="L950">
        <v>2023</v>
      </c>
      <c r="M950">
        <v>830</v>
      </c>
      <c r="N950">
        <v>45099</v>
      </c>
      <c r="O950" t="str">
        <v>June</v>
      </c>
      <c r="P950" t="str">
        <v>CUST830</v>
      </c>
      <c r="Q950" t="str">
        <v>Female</v>
      </c>
      <c r="R950">
        <v>64</v>
      </c>
      <c r="S950" t="str">
        <v>Clothing</v>
      </c>
      <c r="T950">
        <v>3</v>
      </c>
      <c r="U950">
        <v>50</v>
      </c>
      <c r="V950">
        <v>150</v>
      </c>
      <c r="W950">
        <v>150</v>
      </c>
      <c r="X950">
        <v>2023</v>
      </c>
    </row>
    <row r="951" spans="1:24" x14ac:dyDescent="0.35">
      <c r="A951">
        <v>950</v>
      </c>
      <c r="B951" s="1">
        <v>45237</v>
      </c>
      <c r="C951" s="2" t="s">
        <v>12</v>
      </c>
      <c r="D951" s="2" t="s">
        <v>978</v>
      </c>
      <c r="E951" s="2" t="s">
        <v>14</v>
      </c>
      <c r="F951">
        <v>36</v>
      </c>
      <c r="G951" s="2" t="s">
        <v>19</v>
      </c>
      <c r="H951">
        <v>3</v>
      </c>
      <c r="I951">
        <v>300</v>
      </c>
      <c r="J951">
        <v>900</v>
      </c>
      <c r="K951">
        <v>900</v>
      </c>
      <c r="L951">
        <v>2023</v>
      </c>
      <c r="M951">
        <v>831</v>
      </c>
      <c r="N951">
        <v>44941</v>
      </c>
      <c r="O951" t="str">
        <v>January</v>
      </c>
      <c r="P951" t="str">
        <v>CUST831</v>
      </c>
      <c r="Q951" t="str">
        <v>Male</v>
      </c>
      <c r="R951">
        <v>27</v>
      </c>
      <c r="S951" t="str">
        <v>Electronics</v>
      </c>
      <c r="T951">
        <v>4</v>
      </c>
      <c r="U951">
        <v>25</v>
      </c>
      <c r="V951">
        <v>100</v>
      </c>
      <c r="W951">
        <v>100</v>
      </c>
      <c r="X951">
        <v>2023</v>
      </c>
    </row>
    <row r="952" spans="1:24" x14ac:dyDescent="0.35">
      <c r="A952">
        <v>951</v>
      </c>
      <c r="B952" s="1">
        <v>45232</v>
      </c>
      <c r="C952" s="2" t="s">
        <v>12</v>
      </c>
      <c r="D952" s="2" t="s">
        <v>979</v>
      </c>
      <c r="E952" s="2" t="s">
        <v>14</v>
      </c>
      <c r="F952">
        <v>33</v>
      </c>
      <c r="G952" s="2" t="s">
        <v>15</v>
      </c>
      <c r="H952">
        <v>2</v>
      </c>
      <c r="I952">
        <v>50</v>
      </c>
      <c r="J952">
        <v>100</v>
      </c>
      <c r="K952">
        <v>100</v>
      </c>
      <c r="L952">
        <v>2023</v>
      </c>
      <c r="M952">
        <v>832</v>
      </c>
      <c r="N952">
        <v>45180</v>
      </c>
      <c r="O952" t="str">
        <v>September</v>
      </c>
      <c r="P952" t="str">
        <v>CUST832</v>
      </c>
      <c r="Q952" t="str">
        <v>Male</v>
      </c>
      <c r="R952">
        <v>47</v>
      </c>
      <c r="S952" t="str">
        <v>Beauty</v>
      </c>
      <c r="T952">
        <v>4</v>
      </c>
      <c r="U952">
        <v>500</v>
      </c>
      <c r="V952">
        <v>2000</v>
      </c>
      <c r="W952">
        <v>2000</v>
      </c>
      <c r="X952">
        <v>2023</v>
      </c>
    </row>
    <row r="953" spans="1:24" x14ac:dyDescent="0.35">
      <c r="A953">
        <v>952</v>
      </c>
      <c r="B953" s="1">
        <v>45243</v>
      </c>
      <c r="C953" s="2" t="s">
        <v>12</v>
      </c>
      <c r="D953" s="2" t="s">
        <v>980</v>
      </c>
      <c r="E953" s="2" t="s">
        <v>18</v>
      </c>
      <c r="F953">
        <v>57</v>
      </c>
      <c r="G953" s="2" t="s">
        <v>19</v>
      </c>
      <c r="H953">
        <v>1</v>
      </c>
      <c r="I953">
        <v>25</v>
      </c>
      <c r="J953">
        <v>25</v>
      </c>
      <c r="K953">
        <v>25</v>
      </c>
      <c r="L953">
        <v>2023</v>
      </c>
      <c r="M953">
        <v>833</v>
      </c>
      <c r="N953">
        <v>45093</v>
      </c>
      <c r="O953" t="str">
        <v>June</v>
      </c>
      <c r="P953" t="str">
        <v>CUST833</v>
      </c>
      <c r="Q953" t="str">
        <v>Male</v>
      </c>
      <c r="R953">
        <v>42</v>
      </c>
      <c r="S953" t="str">
        <v>Beauty</v>
      </c>
      <c r="T953">
        <v>4</v>
      </c>
      <c r="U953">
        <v>50</v>
      </c>
      <c r="V953">
        <v>200</v>
      </c>
      <c r="W953">
        <v>200</v>
      </c>
      <c r="X953">
        <v>2023</v>
      </c>
    </row>
    <row r="954" spans="1:24" x14ac:dyDescent="0.35">
      <c r="A954">
        <v>953</v>
      </c>
      <c r="B954" s="1">
        <v>45042</v>
      </c>
      <c r="C954" s="2" t="s">
        <v>26</v>
      </c>
      <c r="D954" s="2" t="s">
        <v>981</v>
      </c>
      <c r="E954" s="2" t="s">
        <v>14</v>
      </c>
      <c r="F954">
        <v>45</v>
      </c>
      <c r="G954" s="2" t="s">
        <v>15</v>
      </c>
      <c r="H954">
        <v>3</v>
      </c>
      <c r="I954">
        <v>30</v>
      </c>
      <c r="J954">
        <v>90</v>
      </c>
      <c r="K954">
        <v>90</v>
      </c>
      <c r="L954">
        <v>2023</v>
      </c>
      <c r="M954">
        <v>834</v>
      </c>
      <c r="N954">
        <v>45020</v>
      </c>
      <c r="O954" t="str">
        <v>April</v>
      </c>
      <c r="P954" t="str">
        <v>CUST834</v>
      </c>
      <c r="Q954" t="str">
        <v>Female</v>
      </c>
      <c r="R954">
        <v>56</v>
      </c>
      <c r="S954" t="str">
        <v>Beauty</v>
      </c>
      <c r="T954">
        <v>2</v>
      </c>
      <c r="U954">
        <v>30</v>
      </c>
      <c r="V954">
        <v>60</v>
      </c>
      <c r="W954">
        <v>60</v>
      </c>
      <c r="X954">
        <v>2023</v>
      </c>
    </row>
    <row r="955" spans="1:24" x14ac:dyDescent="0.35">
      <c r="A955">
        <v>954</v>
      </c>
      <c r="B955" s="1">
        <v>45194</v>
      </c>
      <c r="C955" s="2" t="s">
        <v>44</v>
      </c>
      <c r="D955" s="2" t="s">
        <v>982</v>
      </c>
      <c r="E955" s="2" t="s">
        <v>18</v>
      </c>
      <c r="F955">
        <v>50</v>
      </c>
      <c r="G955" s="2" t="s">
        <v>22</v>
      </c>
      <c r="H955">
        <v>3</v>
      </c>
      <c r="I955">
        <v>300</v>
      </c>
      <c r="J955">
        <v>900</v>
      </c>
      <c r="K955">
        <v>900</v>
      </c>
      <c r="L955">
        <v>2023</v>
      </c>
      <c r="M955">
        <v>835</v>
      </c>
      <c r="N955">
        <v>45176</v>
      </c>
      <c r="O955" t="str">
        <v>September</v>
      </c>
      <c r="P955" t="str">
        <v>CUST835</v>
      </c>
      <c r="Q955" t="str">
        <v>Male</v>
      </c>
      <c r="R955">
        <v>37</v>
      </c>
      <c r="S955" t="str">
        <v>Clothing</v>
      </c>
      <c r="T955">
        <v>4</v>
      </c>
      <c r="U955">
        <v>50</v>
      </c>
      <c r="V955">
        <v>200</v>
      </c>
      <c r="W955">
        <v>200</v>
      </c>
      <c r="X955">
        <v>2023</v>
      </c>
    </row>
    <row r="956" spans="1:24" x14ac:dyDescent="0.35">
      <c r="A956">
        <v>955</v>
      </c>
      <c r="B956" s="1">
        <v>45121</v>
      </c>
      <c r="C956" s="2" t="s">
        <v>70</v>
      </c>
      <c r="D956" s="2" t="s">
        <v>983</v>
      </c>
      <c r="E956" s="2" t="s">
        <v>14</v>
      </c>
      <c r="F956">
        <v>58</v>
      </c>
      <c r="G956" s="2" t="s">
        <v>19</v>
      </c>
      <c r="H956">
        <v>1</v>
      </c>
      <c r="I956">
        <v>25</v>
      </c>
      <c r="J956">
        <v>25</v>
      </c>
      <c r="K956">
        <v>25</v>
      </c>
      <c r="L956">
        <v>2023</v>
      </c>
      <c r="M956">
        <v>836</v>
      </c>
      <c r="N956">
        <v>45035</v>
      </c>
      <c r="O956" t="str">
        <v>April</v>
      </c>
      <c r="P956" t="str">
        <v>CUST836</v>
      </c>
      <c r="Q956" t="str">
        <v>Female</v>
      </c>
      <c r="R956">
        <v>22</v>
      </c>
      <c r="S956" t="str">
        <v>Clothing</v>
      </c>
      <c r="T956">
        <v>1</v>
      </c>
      <c r="U956">
        <v>50</v>
      </c>
      <c r="V956">
        <v>50</v>
      </c>
      <c r="W956">
        <v>50</v>
      </c>
      <c r="X956">
        <v>2023</v>
      </c>
    </row>
    <row r="957" spans="1:24" x14ac:dyDescent="0.35">
      <c r="A957">
        <v>956</v>
      </c>
      <c r="B957" s="1">
        <v>45157</v>
      </c>
      <c r="C957" s="2" t="s">
        <v>37</v>
      </c>
      <c r="D957" s="2" t="s">
        <v>984</v>
      </c>
      <c r="E957" s="2" t="s">
        <v>14</v>
      </c>
      <c r="F957">
        <v>30</v>
      </c>
      <c r="G957" s="2" t="s">
        <v>19</v>
      </c>
      <c r="H957">
        <v>3</v>
      </c>
      <c r="I957">
        <v>500</v>
      </c>
      <c r="J957">
        <v>1500</v>
      </c>
      <c r="K957">
        <v>1500</v>
      </c>
      <c r="L957">
        <v>2023</v>
      </c>
      <c r="M957">
        <v>837</v>
      </c>
      <c r="N957">
        <v>45108</v>
      </c>
      <c r="O957" t="str">
        <v>July</v>
      </c>
      <c r="P957" t="str">
        <v>CUST837</v>
      </c>
      <c r="Q957" t="str">
        <v>Male</v>
      </c>
      <c r="R957">
        <v>18</v>
      </c>
      <c r="S957" t="str">
        <v>Beauty</v>
      </c>
      <c r="T957">
        <v>3</v>
      </c>
      <c r="U957">
        <v>30</v>
      </c>
      <c r="V957">
        <v>90</v>
      </c>
      <c r="W957">
        <v>90</v>
      </c>
      <c r="X957">
        <v>2023</v>
      </c>
    </row>
    <row r="958" spans="1:24" x14ac:dyDescent="0.35">
      <c r="A958">
        <v>957</v>
      </c>
      <c r="B958" s="1">
        <v>45153</v>
      </c>
      <c r="C958" s="2" t="s">
        <v>37</v>
      </c>
      <c r="D958" s="2" t="s">
        <v>985</v>
      </c>
      <c r="E958" s="2" t="s">
        <v>18</v>
      </c>
      <c r="F958">
        <v>60</v>
      </c>
      <c r="G958" s="2" t="s">
        <v>22</v>
      </c>
      <c r="H958">
        <v>4</v>
      </c>
      <c r="I958">
        <v>30</v>
      </c>
      <c r="J958">
        <v>120</v>
      </c>
      <c r="K958">
        <v>120</v>
      </c>
      <c r="L958">
        <v>2023</v>
      </c>
      <c r="M958">
        <v>838</v>
      </c>
      <c r="N958">
        <v>45059</v>
      </c>
      <c r="O958" t="str">
        <v>May</v>
      </c>
      <c r="P958" t="str">
        <v>CUST838</v>
      </c>
      <c r="Q958" t="str">
        <v>Male</v>
      </c>
      <c r="R958">
        <v>47</v>
      </c>
      <c r="S958" t="str">
        <v>Electronics</v>
      </c>
      <c r="T958">
        <v>2</v>
      </c>
      <c r="U958">
        <v>300</v>
      </c>
      <c r="V958">
        <v>600</v>
      </c>
      <c r="W958">
        <v>600</v>
      </c>
      <c r="X958">
        <v>2023</v>
      </c>
    </row>
    <row r="959" spans="1:24" x14ac:dyDescent="0.35">
      <c r="A959">
        <v>958</v>
      </c>
      <c r="B959" s="1">
        <v>45079</v>
      </c>
      <c r="C959" s="2" t="s">
        <v>62</v>
      </c>
      <c r="D959" s="2" t="s">
        <v>986</v>
      </c>
      <c r="E959" s="2" t="s">
        <v>14</v>
      </c>
      <c r="F959">
        <v>62</v>
      </c>
      <c r="G959" s="2" t="s">
        <v>22</v>
      </c>
      <c r="H959">
        <v>2</v>
      </c>
      <c r="I959">
        <v>25</v>
      </c>
      <c r="J959">
        <v>50</v>
      </c>
      <c r="K959">
        <v>50</v>
      </c>
      <c r="L959">
        <v>2023</v>
      </c>
      <c r="M959">
        <v>839</v>
      </c>
      <c r="N959">
        <v>45101</v>
      </c>
      <c r="O959" t="str">
        <v>June</v>
      </c>
      <c r="P959" t="str">
        <v>CUST839</v>
      </c>
      <c r="Q959" t="str">
        <v>Female</v>
      </c>
      <c r="R959">
        <v>20</v>
      </c>
      <c r="S959" t="str">
        <v>Electronics</v>
      </c>
      <c r="T959">
        <v>4</v>
      </c>
      <c r="U959">
        <v>300</v>
      </c>
      <c r="V959">
        <v>1200</v>
      </c>
      <c r="W959">
        <v>1200</v>
      </c>
      <c r="X959">
        <v>2023</v>
      </c>
    </row>
    <row r="960" spans="1:24" x14ac:dyDescent="0.35">
      <c r="A960">
        <v>959</v>
      </c>
      <c r="B960" s="1">
        <v>45228</v>
      </c>
      <c r="C960" s="2" t="s">
        <v>33</v>
      </c>
      <c r="D960" s="2" t="s">
        <v>987</v>
      </c>
      <c r="E960" s="2" t="s">
        <v>18</v>
      </c>
      <c r="F960">
        <v>42</v>
      </c>
      <c r="G960" s="2" t="s">
        <v>22</v>
      </c>
      <c r="H960">
        <v>2</v>
      </c>
      <c r="I960">
        <v>30</v>
      </c>
      <c r="J960">
        <v>60</v>
      </c>
      <c r="K960">
        <v>60</v>
      </c>
      <c r="L960">
        <v>2023</v>
      </c>
      <c r="M960">
        <v>840</v>
      </c>
      <c r="N960">
        <v>45070</v>
      </c>
      <c r="O960" t="str">
        <v>May</v>
      </c>
      <c r="P960" t="str">
        <v>CUST840</v>
      </c>
      <c r="Q960" t="str">
        <v>Male</v>
      </c>
      <c r="R960">
        <v>62</v>
      </c>
      <c r="S960" t="str">
        <v>Clothing</v>
      </c>
      <c r="T960">
        <v>2</v>
      </c>
      <c r="U960">
        <v>25</v>
      </c>
      <c r="V960">
        <v>50</v>
      </c>
      <c r="W960">
        <v>50</v>
      </c>
      <c r="X960">
        <v>2023</v>
      </c>
    </row>
    <row r="961" spans="1:24" x14ac:dyDescent="0.35">
      <c r="A961">
        <v>960</v>
      </c>
      <c r="B961" s="1">
        <v>45146</v>
      </c>
      <c r="C961" s="2" t="s">
        <v>37</v>
      </c>
      <c r="D961" s="2" t="s">
        <v>988</v>
      </c>
      <c r="E961" s="2" t="s">
        <v>14</v>
      </c>
      <c r="F961">
        <v>59</v>
      </c>
      <c r="G961" s="2" t="s">
        <v>19</v>
      </c>
      <c r="H961">
        <v>2</v>
      </c>
      <c r="I961">
        <v>30</v>
      </c>
      <c r="J961">
        <v>60</v>
      </c>
      <c r="K961">
        <v>60</v>
      </c>
      <c r="L961">
        <v>2023</v>
      </c>
      <c r="M961">
        <v>841</v>
      </c>
      <c r="N961">
        <v>45232</v>
      </c>
      <c r="O961" t="str">
        <v>November</v>
      </c>
      <c r="P961" t="str">
        <v>CUST841</v>
      </c>
      <c r="Q961" t="str">
        <v>Male</v>
      </c>
      <c r="R961">
        <v>31</v>
      </c>
      <c r="S961" t="str">
        <v>Electronics</v>
      </c>
      <c r="T961">
        <v>4</v>
      </c>
      <c r="U961">
        <v>25</v>
      </c>
      <c r="V961">
        <v>100</v>
      </c>
      <c r="W961">
        <v>100</v>
      </c>
      <c r="X961">
        <v>2023</v>
      </c>
    </row>
    <row r="962" spans="1:24" x14ac:dyDescent="0.35">
      <c r="A962">
        <v>961</v>
      </c>
      <c r="B962" s="1">
        <v>45083</v>
      </c>
      <c r="C962" s="2" t="s">
        <v>62</v>
      </c>
      <c r="D962" s="2" t="s">
        <v>989</v>
      </c>
      <c r="E962" s="2" t="s">
        <v>14</v>
      </c>
      <c r="F962">
        <v>53</v>
      </c>
      <c r="G962" s="2" t="s">
        <v>15</v>
      </c>
      <c r="H962">
        <v>4</v>
      </c>
      <c r="I962">
        <v>50</v>
      </c>
      <c r="J962">
        <v>200</v>
      </c>
      <c r="K962">
        <v>200</v>
      </c>
      <c r="L962">
        <v>2023</v>
      </c>
      <c r="M962">
        <v>842</v>
      </c>
      <c r="N962">
        <v>45286</v>
      </c>
      <c r="O962" t="str">
        <v>December</v>
      </c>
      <c r="P962" t="str">
        <v>CUST842</v>
      </c>
      <c r="Q962" t="str">
        <v>Female</v>
      </c>
      <c r="R962">
        <v>47</v>
      </c>
      <c r="S962" t="str">
        <v>Clothing</v>
      </c>
      <c r="T962">
        <v>2</v>
      </c>
      <c r="U962">
        <v>300</v>
      </c>
      <c r="V962">
        <v>600</v>
      </c>
      <c r="W962">
        <v>600</v>
      </c>
      <c r="X962">
        <v>2023</v>
      </c>
    </row>
    <row r="963" spans="1:24" x14ac:dyDescent="0.35">
      <c r="A963">
        <v>962</v>
      </c>
      <c r="B963" s="1">
        <v>45218</v>
      </c>
      <c r="C963" s="2" t="s">
        <v>33</v>
      </c>
      <c r="D963" s="2" t="s">
        <v>990</v>
      </c>
      <c r="E963" s="2" t="s">
        <v>14</v>
      </c>
      <c r="F963">
        <v>44</v>
      </c>
      <c r="G963" s="2" t="s">
        <v>19</v>
      </c>
      <c r="H963">
        <v>2</v>
      </c>
      <c r="I963">
        <v>30</v>
      </c>
      <c r="J963">
        <v>60</v>
      </c>
      <c r="K963">
        <v>60</v>
      </c>
      <c r="L963">
        <v>2023</v>
      </c>
      <c r="M963">
        <v>843</v>
      </c>
      <c r="N963">
        <v>45068</v>
      </c>
      <c r="O963" t="str">
        <v>May</v>
      </c>
      <c r="P963" t="str">
        <v>CUST843</v>
      </c>
      <c r="Q963" t="str">
        <v>Male</v>
      </c>
      <c r="R963">
        <v>21</v>
      </c>
      <c r="S963" t="str">
        <v>Beauty</v>
      </c>
      <c r="T963">
        <v>3</v>
      </c>
      <c r="U963">
        <v>500</v>
      </c>
      <c r="V963">
        <v>1500</v>
      </c>
      <c r="W963">
        <v>1500</v>
      </c>
      <c r="X963">
        <v>2023</v>
      </c>
    </row>
    <row r="964" spans="1:24" x14ac:dyDescent="0.35">
      <c r="A964">
        <v>963</v>
      </c>
      <c r="B964" s="1">
        <v>45244</v>
      </c>
      <c r="C964" s="2" t="s">
        <v>12</v>
      </c>
      <c r="D964" s="2" t="s">
        <v>991</v>
      </c>
      <c r="E964" s="2" t="s">
        <v>18</v>
      </c>
      <c r="F964">
        <v>55</v>
      </c>
      <c r="G964" s="2" t="s">
        <v>15</v>
      </c>
      <c r="H964">
        <v>1</v>
      </c>
      <c r="I964">
        <v>50</v>
      </c>
      <c r="J964">
        <v>50</v>
      </c>
      <c r="K964">
        <v>50</v>
      </c>
      <c r="L964">
        <v>2023</v>
      </c>
      <c r="M964">
        <v>844</v>
      </c>
      <c r="N964">
        <v>45211</v>
      </c>
      <c r="O964" t="str">
        <v>October</v>
      </c>
      <c r="P964" t="str">
        <v>CUST844</v>
      </c>
      <c r="Q964" t="str">
        <v>Male</v>
      </c>
      <c r="R964">
        <v>35</v>
      </c>
      <c r="S964" t="str">
        <v>Clothing</v>
      </c>
      <c r="T964">
        <v>3</v>
      </c>
      <c r="U964">
        <v>50</v>
      </c>
      <c r="V964">
        <v>150</v>
      </c>
      <c r="W964">
        <v>150</v>
      </c>
      <c r="X964">
        <v>2023</v>
      </c>
    </row>
    <row r="965" spans="1:24" x14ac:dyDescent="0.35">
      <c r="A965">
        <v>964</v>
      </c>
      <c r="B965" s="1">
        <v>44957</v>
      </c>
      <c r="C965" s="2" t="s">
        <v>20</v>
      </c>
      <c r="D965" s="2" t="s">
        <v>992</v>
      </c>
      <c r="E965" s="2" t="s">
        <v>14</v>
      </c>
      <c r="F965">
        <v>24</v>
      </c>
      <c r="G965" s="2" t="s">
        <v>19</v>
      </c>
      <c r="H965">
        <v>3</v>
      </c>
      <c r="I965">
        <v>300</v>
      </c>
      <c r="J965">
        <v>900</v>
      </c>
      <c r="K965">
        <v>900</v>
      </c>
      <c r="L965">
        <v>2023</v>
      </c>
      <c r="M965">
        <v>845</v>
      </c>
      <c r="N965">
        <v>44932</v>
      </c>
      <c r="O965" t="str">
        <v>January</v>
      </c>
      <c r="P965" t="str">
        <v>CUST845</v>
      </c>
      <c r="Q965" t="str">
        <v>Male</v>
      </c>
      <c r="R965">
        <v>54</v>
      </c>
      <c r="S965" t="str">
        <v>Clothing</v>
      </c>
      <c r="T965">
        <v>1</v>
      </c>
      <c r="U965">
        <v>500</v>
      </c>
      <c r="V965">
        <v>500</v>
      </c>
      <c r="W965">
        <v>500</v>
      </c>
      <c r="X965">
        <v>2023</v>
      </c>
    </row>
    <row r="966" spans="1:24" x14ac:dyDescent="0.35">
      <c r="A966">
        <v>965</v>
      </c>
      <c r="B966" s="1">
        <v>45239</v>
      </c>
      <c r="C966" s="2" t="s">
        <v>12</v>
      </c>
      <c r="D966" s="2" t="s">
        <v>993</v>
      </c>
      <c r="E966" s="2" t="s">
        <v>14</v>
      </c>
      <c r="F966">
        <v>22</v>
      </c>
      <c r="G966" s="2" t="s">
        <v>19</v>
      </c>
      <c r="H966">
        <v>4</v>
      </c>
      <c r="I966">
        <v>50</v>
      </c>
      <c r="J966">
        <v>200</v>
      </c>
      <c r="K966">
        <v>200</v>
      </c>
      <c r="L966">
        <v>2023</v>
      </c>
      <c r="M966">
        <v>846</v>
      </c>
      <c r="N966">
        <v>45191</v>
      </c>
      <c r="O966" t="str">
        <v>September</v>
      </c>
      <c r="P966" t="str">
        <v>CUST846</v>
      </c>
      <c r="Q966" t="str">
        <v>Male</v>
      </c>
      <c r="R966">
        <v>42</v>
      </c>
      <c r="S966" t="str">
        <v>Beauty</v>
      </c>
      <c r="T966">
        <v>1</v>
      </c>
      <c r="U966">
        <v>50</v>
      </c>
      <c r="V966">
        <v>50</v>
      </c>
      <c r="W966">
        <v>50</v>
      </c>
      <c r="X966">
        <v>2023</v>
      </c>
    </row>
    <row r="967" spans="1:24" x14ac:dyDescent="0.35">
      <c r="A967">
        <v>966</v>
      </c>
      <c r="B967" s="1">
        <v>44977</v>
      </c>
      <c r="C967" s="2" t="s">
        <v>16</v>
      </c>
      <c r="D967" s="2" t="s">
        <v>994</v>
      </c>
      <c r="E967" s="2" t="s">
        <v>14</v>
      </c>
      <c r="F967">
        <v>60</v>
      </c>
      <c r="G967" s="2" t="s">
        <v>22</v>
      </c>
      <c r="H967">
        <v>2</v>
      </c>
      <c r="I967">
        <v>500</v>
      </c>
      <c r="J967">
        <v>1000</v>
      </c>
      <c r="K967">
        <v>1000</v>
      </c>
      <c r="L967">
        <v>2023</v>
      </c>
      <c r="M967">
        <v>847</v>
      </c>
      <c r="N967">
        <v>45024</v>
      </c>
      <c r="O967" t="str">
        <v>April</v>
      </c>
      <c r="P967" t="str">
        <v>CUST847</v>
      </c>
      <c r="Q967" t="str">
        <v>Female</v>
      </c>
      <c r="R967">
        <v>18</v>
      </c>
      <c r="S967" t="str">
        <v>Electronics</v>
      </c>
      <c r="T967">
        <v>4</v>
      </c>
      <c r="U967">
        <v>300</v>
      </c>
      <c r="V967">
        <v>1200</v>
      </c>
      <c r="W967">
        <v>1200</v>
      </c>
      <c r="X967">
        <v>2023</v>
      </c>
    </row>
    <row r="968" spans="1:24" x14ac:dyDescent="0.35">
      <c r="A968">
        <v>967</v>
      </c>
      <c r="B968" s="1">
        <v>45033</v>
      </c>
      <c r="C968" s="2" t="s">
        <v>26</v>
      </c>
      <c r="D968" s="2" t="s">
        <v>995</v>
      </c>
      <c r="E968" s="2" t="s">
        <v>14</v>
      </c>
      <c r="F968">
        <v>62</v>
      </c>
      <c r="G968" s="2" t="s">
        <v>15</v>
      </c>
      <c r="H968">
        <v>1</v>
      </c>
      <c r="I968">
        <v>25</v>
      </c>
      <c r="J968">
        <v>25</v>
      </c>
      <c r="K968">
        <v>25</v>
      </c>
      <c r="L968">
        <v>2023</v>
      </c>
      <c r="M968">
        <v>848</v>
      </c>
      <c r="N968">
        <v>44970</v>
      </c>
      <c r="O968" t="str">
        <v>February</v>
      </c>
      <c r="P968" t="str">
        <v>CUST848</v>
      </c>
      <c r="Q968" t="str">
        <v>Female</v>
      </c>
      <c r="R968">
        <v>63</v>
      </c>
      <c r="S968" t="str">
        <v>Clothing</v>
      </c>
      <c r="T968">
        <v>3</v>
      </c>
      <c r="U968">
        <v>25</v>
      </c>
      <c r="V968">
        <v>75</v>
      </c>
      <c r="W968">
        <v>75</v>
      </c>
      <c r="X968">
        <v>2023</v>
      </c>
    </row>
    <row r="969" spans="1:24" x14ac:dyDescent="0.35">
      <c r="A969">
        <v>968</v>
      </c>
      <c r="B969" s="1">
        <v>45247</v>
      </c>
      <c r="C969" s="2" t="s">
        <v>12</v>
      </c>
      <c r="D969" s="2" t="s">
        <v>996</v>
      </c>
      <c r="E969" s="2" t="s">
        <v>18</v>
      </c>
      <c r="F969">
        <v>48</v>
      </c>
      <c r="G969" s="2" t="s">
        <v>19</v>
      </c>
      <c r="H969">
        <v>3</v>
      </c>
      <c r="I969">
        <v>300</v>
      </c>
      <c r="J969">
        <v>900</v>
      </c>
      <c r="K969">
        <v>900</v>
      </c>
      <c r="L969">
        <v>2023</v>
      </c>
      <c r="M969">
        <v>849</v>
      </c>
      <c r="N969">
        <v>45050</v>
      </c>
      <c r="O969" t="str">
        <v>May</v>
      </c>
      <c r="P969" t="str">
        <v>CUST849</v>
      </c>
      <c r="Q969" t="str">
        <v>Male</v>
      </c>
      <c r="R969">
        <v>32</v>
      </c>
      <c r="S969" t="str">
        <v>Clothing</v>
      </c>
      <c r="T969">
        <v>2</v>
      </c>
      <c r="U969">
        <v>25</v>
      </c>
      <c r="V969">
        <v>50</v>
      </c>
      <c r="W969">
        <v>50</v>
      </c>
      <c r="X969">
        <v>2023</v>
      </c>
    </row>
    <row r="970" spans="1:24" x14ac:dyDescent="0.35">
      <c r="A970">
        <v>969</v>
      </c>
      <c r="B970" s="1">
        <v>45035</v>
      </c>
      <c r="C970" s="2" t="s">
        <v>26</v>
      </c>
      <c r="D970" s="2" t="s">
        <v>997</v>
      </c>
      <c r="E970" s="2" t="s">
        <v>18</v>
      </c>
      <c r="F970">
        <v>40</v>
      </c>
      <c r="G970" s="2" t="s">
        <v>19</v>
      </c>
      <c r="H970">
        <v>3</v>
      </c>
      <c r="I970">
        <v>300</v>
      </c>
      <c r="J970">
        <v>900</v>
      </c>
      <c r="K970">
        <v>900</v>
      </c>
      <c r="L970">
        <v>2023</v>
      </c>
      <c r="M970">
        <v>850</v>
      </c>
      <c r="N970">
        <v>45135</v>
      </c>
      <c r="O970" t="str">
        <v>July</v>
      </c>
      <c r="P970" t="str">
        <v>CUST850</v>
      </c>
      <c r="Q970" t="str">
        <v>Female</v>
      </c>
      <c r="R970">
        <v>26</v>
      </c>
      <c r="S970" t="str">
        <v>Beauty</v>
      </c>
      <c r="T970">
        <v>2</v>
      </c>
      <c r="U970">
        <v>500</v>
      </c>
      <c r="V970">
        <v>1000</v>
      </c>
      <c r="W970">
        <v>1000</v>
      </c>
      <c r="X970">
        <v>2023</v>
      </c>
    </row>
    <row r="971" spans="1:24" x14ac:dyDescent="0.35">
      <c r="A971">
        <v>970</v>
      </c>
      <c r="B971" s="1">
        <v>45062</v>
      </c>
      <c r="C971" s="2" t="s">
        <v>23</v>
      </c>
      <c r="D971" s="2" t="s">
        <v>998</v>
      </c>
      <c r="E971" s="2" t="s">
        <v>14</v>
      </c>
      <c r="F971">
        <v>59</v>
      </c>
      <c r="G971" s="2" t="s">
        <v>22</v>
      </c>
      <c r="H971">
        <v>4</v>
      </c>
      <c r="I971">
        <v>500</v>
      </c>
      <c r="J971">
        <v>2000</v>
      </c>
      <c r="K971">
        <v>2000</v>
      </c>
      <c r="L971">
        <v>2023</v>
      </c>
      <c r="M971">
        <v>851</v>
      </c>
      <c r="N971">
        <v>45177</v>
      </c>
      <c r="O971" t="str">
        <v>September</v>
      </c>
      <c r="P971" t="str">
        <v>CUST851</v>
      </c>
      <c r="Q971" t="str">
        <v>Male</v>
      </c>
      <c r="R971">
        <v>32</v>
      </c>
      <c r="S971" t="str">
        <v>Electronics</v>
      </c>
      <c r="T971">
        <v>2</v>
      </c>
      <c r="U971">
        <v>25</v>
      </c>
      <c r="V971">
        <v>50</v>
      </c>
      <c r="W971">
        <v>50</v>
      </c>
      <c r="X971">
        <v>2023</v>
      </c>
    </row>
    <row r="972" spans="1:24" x14ac:dyDescent="0.35">
      <c r="A972">
        <v>971</v>
      </c>
      <c r="B972" s="1">
        <v>45265</v>
      </c>
      <c r="C972" s="2" t="s">
        <v>31</v>
      </c>
      <c r="D972" s="2" t="s">
        <v>999</v>
      </c>
      <c r="E972" s="2" t="s">
        <v>18</v>
      </c>
      <c r="F972">
        <v>27</v>
      </c>
      <c r="G972" s="2" t="s">
        <v>22</v>
      </c>
      <c r="H972">
        <v>4</v>
      </c>
      <c r="I972">
        <v>50</v>
      </c>
      <c r="J972">
        <v>200</v>
      </c>
      <c r="K972">
        <v>200</v>
      </c>
      <c r="L972">
        <v>2023</v>
      </c>
      <c r="M972">
        <v>852</v>
      </c>
      <c r="N972">
        <v>45211</v>
      </c>
      <c r="O972" t="str">
        <v>October</v>
      </c>
      <c r="P972" t="str">
        <v>CUST852</v>
      </c>
      <c r="Q972" t="str">
        <v>Female</v>
      </c>
      <c r="R972">
        <v>41</v>
      </c>
      <c r="S972" t="str">
        <v>Clothing</v>
      </c>
      <c r="T972">
        <v>1</v>
      </c>
      <c r="U972">
        <v>300</v>
      </c>
      <c r="V972">
        <v>300</v>
      </c>
      <c r="W972">
        <v>300</v>
      </c>
      <c r="X972">
        <v>2023</v>
      </c>
    </row>
    <row r="973" spans="1:24" x14ac:dyDescent="0.35">
      <c r="A973">
        <v>972</v>
      </c>
      <c r="B973" s="1">
        <v>44968</v>
      </c>
      <c r="C973" s="2" t="s">
        <v>16</v>
      </c>
      <c r="D973" s="2" t="s">
        <v>1000</v>
      </c>
      <c r="E973" s="2" t="s">
        <v>14</v>
      </c>
      <c r="F973">
        <v>49</v>
      </c>
      <c r="G973" s="2" t="s">
        <v>15</v>
      </c>
      <c r="H973">
        <v>4</v>
      </c>
      <c r="I973">
        <v>25</v>
      </c>
      <c r="J973">
        <v>100</v>
      </c>
      <c r="K973">
        <v>100</v>
      </c>
      <c r="L973">
        <v>2023</v>
      </c>
      <c r="M973">
        <v>853</v>
      </c>
      <c r="N973">
        <v>45050</v>
      </c>
      <c r="O973" t="str">
        <v>May</v>
      </c>
      <c r="P973" t="str">
        <v>CUST853</v>
      </c>
      <c r="Q973" t="str">
        <v>Male</v>
      </c>
      <c r="R973">
        <v>21</v>
      </c>
      <c r="S973" t="str">
        <v>Beauty</v>
      </c>
      <c r="T973">
        <v>2</v>
      </c>
      <c r="U973">
        <v>500</v>
      </c>
      <c r="V973">
        <v>1000</v>
      </c>
      <c r="W973">
        <v>1000</v>
      </c>
      <c r="X973">
        <v>2023</v>
      </c>
    </row>
    <row r="974" spans="1:24" x14ac:dyDescent="0.35">
      <c r="A974">
        <v>973</v>
      </c>
      <c r="B974" s="1">
        <v>45007</v>
      </c>
      <c r="C974" s="2" t="s">
        <v>28</v>
      </c>
      <c r="D974" s="2" t="s">
        <v>1001</v>
      </c>
      <c r="E974" s="2" t="s">
        <v>14</v>
      </c>
      <c r="F974">
        <v>60</v>
      </c>
      <c r="G974" s="2" t="s">
        <v>19</v>
      </c>
      <c r="H974">
        <v>1</v>
      </c>
      <c r="I974">
        <v>50</v>
      </c>
      <c r="J974">
        <v>50</v>
      </c>
      <c r="K974">
        <v>50</v>
      </c>
      <c r="L974">
        <v>2023</v>
      </c>
      <c r="M974">
        <v>854</v>
      </c>
      <c r="N974">
        <v>45280</v>
      </c>
      <c r="O974" t="str">
        <v>December</v>
      </c>
      <c r="P974" t="str">
        <v>CUST854</v>
      </c>
      <c r="Q974" t="str">
        <v>Male</v>
      </c>
      <c r="R974">
        <v>29</v>
      </c>
      <c r="S974" t="str">
        <v>Clothing</v>
      </c>
      <c r="T974">
        <v>1</v>
      </c>
      <c r="U974">
        <v>50</v>
      </c>
      <c r="V974">
        <v>50</v>
      </c>
      <c r="W974">
        <v>50</v>
      </c>
      <c r="X974">
        <v>2023</v>
      </c>
    </row>
    <row r="975" spans="1:24" x14ac:dyDescent="0.35">
      <c r="A975">
        <v>974</v>
      </c>
      <c r="B975" s="1">
        <v>45049</v>
      </c>
      <c r="C975" s="2" t="s">
        <v>23</v>
      </c>
      <c r="D975" s="2" t="s">
        <v>1002</v>
      </c>
      <c r="E975" s="2" t="s">
        <v>14</v>
      </c>
      <c r="F975">
        <v>47</v>
      </c>
      <c r="G975" s="2" t="s">
        <v>15</v>
      </c>
      <c r="H975">
        <v>1</v>
      </c>
      <c r="I975">
        <v>30</v>
      </c>
      <c r="J975">
        <v>30</v>
      </c>
      <c r="K975">
        <v>30</v>
      </c>
      <c r="L975">
        <v>2023</v>
      </c>
      <c r="M975">
        <v>855</v>
      </c>
      <c r="N975">
        <v>45170</v>
      </c>
      <c r="O975" t="str">
        <v>September</v>
      </c>
      <c r="P975" t="str">
        <v>CUST855</v>
      </c>
      <c r="Q975" t="str">
        <v>Male</v>
      </c>
      <c r="R975">
        <v>54</v>
      </c>
      <c r="S975" t="str">
        <v>Beauty</v>
      </c>
      <c r="T975">
        <v>1</v>
      </c>
      <c r="U975">
        <v>25</v>
      </c>
      <c r="V975">
        <v>25</v>
      </c>
      <c r="W975">
        <v>25</v>
      </c>
      <c r="X975">
        <v>2023</v>
      </c>
    </row>
    <row r="976" spans="1:24" x14ac:dyDescent="0.35">
      <c r="A976">
        <v>975</v>
      </c>
      <c r="B976" s="1">
        <v>45015</v>
      </c>
      <c r="C976" s="2" t="s">
        <v>28</v>
      </c>
      <c r="D976" s="2" t="s">
        <v>1003</v>
      </c>
      <c r="E976" s="2" t="s">
        <v>18</v>
      </c>
      <c r="F976">
        <v>56</v>
      </c>
      <c r="G976" s="2" t="s">
        <v>19</v>
      </c>
      <c r="H976">
        <v>4</v>
      </c>
      <c r="I976">
        <v>50</v>
      </c>
      <c r="J976">
        <v>200</v>
      </c>
      <c r="K976">
        <v>200</v>
      </c>
      <c r="L976">
        <v>2023</v>
      </c>
      <c r="M976">
        <v>856</v>
      </c>
      <c r="N976">
        <v>45257</v>
      </c>
      <c r="O976" t="str">
        <v>November</v>
      </c>
      <c r="P976" t="str">
        <v>CUST856</v>
      </c>
      <c r="Q976" t="str">
        <v>Male</v>
      </c>
      <c r="R976">
        <v>54</v>
      </c>
      <c r="S976" t="str">
        <v>Electronics</v>
      </c>
      <c r="T976">
        <v>4</v>
      </c>
      <c r="U976">
        <v>30</v>
      </c>
      <c r="V976">
        <v>120</v>
      </c>
      <c r="W976">
        <v>120</v>
      </c>
      <c r="X976">
        <v>2023</v>
      </c>
    </row>
    <row r="977" spans="1:24" x14ac:dyDescent="0.35">
      <c r="A977">
        <v>976</v>
      </c>
      <c r="B977" s="1">
        <v>45209</v>
      </c>
      <c r="C977" s="2" t="s">
        <v>33</v>
      </c>
      <c r="D977" s="2" t="s">
        <v>1004</v>
      </c>
      <c r="E977" s="2" t="s">
        <v>18</v>
      </c>
      <c r="F977">
        <v>48</v>
      </c>
      <c r="G977" s="2" t="s">
        <v>15</v>
      </c>
      <c r="H977">
        <v>2</v>
      </c>
      <c r="I977">
        <v>300</v>
      </c>
      <c r="J977">
        <v>600</v>
      </c>
      <c r="K977">
        <v>600</v>
      </c>
      <c r="L977">
        <v>2023</v>
      </c>
      <c r="M977">
        <v>857</v>
      </c>
      <c r="N977">
        <v>45291</v>
      </c>
      <c r="O977" t="str">
        <v>December</v>
      </c>
      <c r="P977" t="str">
        <v>CUST857</v>
      </c>
      <c r="Q977" t="str">
        <v>Male</v>
      </c>
      <c r="R977">
        <v>60</v>
      </c>
      <c r="S977" t="str">
        <v>Electronics</v>
      </c>
      <c r="T977">
        <v>2</v>
      </c>
      <c r="U977">
        <v>25</v>
      </c>
      <c r="V977">
        <v>50</v>
      </c>
      <c r="W977">
        <v>50</v>
      </c>
      <c r="X977">
        <v>2023</v>
      </c>
    </row>
    <row r="978" spans="1:24" x14ac:dyDescent="0.35">
      <c r="A978">
        <v>977</v>
      </c>
      <c r="B978" s="1">
        <v>44965</v>
      </c>
      <c r="C978" s="2" t="s">
        <v>16</v>
      </c>
      <c r="D978" s="2" t="s">
        <v>1005</v>
      </c>
      <c r="E978" s="2" t="s">
        <v>18</v>
      </c>
      <c r="F978">
        <v>35</v>
      </c>
      <c r="G978" s="2" t="s">
        <v>22</v>
      </c>
      <c r="H978">
        <v>3</v>
      </c>
      <c r="I978">
        <v>25</v>
      </c>
      <c r="J978">
        <v>75</v>
      </c>
      <c r="K978">
        <v>75</v>
      </c>
      <c r="L978">
        <v>2023</v>
      </c>
      <c r="M978">
        <v>858</v>
      </c>
      <c r="N978">
        <v>45178</v>
      </c>
      <c r="O978" t="str">
        <v>September</v>
      </c>
      <c r="P978" t="str">
        <v>CUST858</v>
      </c>
      <c r="Q978" t="str">
        <v>Male</v>
      </c>
      <c r="R978">
        <v>23</v>
      </c>
      <c r="S978" t="str">
        <v>Electronics</v>
      </c>
      <c r="T978">
        <v>2</v>
      </c>
      <c r="U978">
        <v>50</v>
      </c>
      <c r="V978">
        <v>100</v>
      </c>
      <c r="W978">
        <v>100</v>
      </c>
      <c r="X978">
        <v>2023</v>
      </c>
    </row>
    <row r="979" spans="1:24" x14ac:dyDescent="0.35">
      <c r="A979">
        <v>978</v>
      </c>
      <c r="B979" s="1">
        <v>45007</v>
      </c>
      <c r="C979" s="2" t="s">
        <v>28</v>
      </c>
      <c r="D979" s="2" t="s">
        <v>1006</v>
      </c>
      <c r="E979" s="2" t="s">
        <v>18</v>
      </c>
      <c r="F979">
        <v>53</v>
      </c>
      <c r="G979" s="2" t="s">
        <v>19</v>
      </c>
      <c r="H979">
        <v>3</v>
      </c>
      <c r="I979">
        <v>50</v>
      </c>
      <c r="J979">
        <v>150</v>
      </c>
      <c r="K979">
        <v>150</v>
      </c>
      <c r="L979">
        <v>2023</v>
      </c>
      <c r="M979">
        <v>859</v>
      </c>
      <c r="N979">
        <v>45156</v>
      </c>
      <c r="O979" t="str">
        <v>August</v>
      </c>
      <c r="P979" t="str">
        <v>CUST859</v>
      </c>
      <c r="Q979" t="str">
        <v>Female</v>
      </c>
      <c r="R979">
        <v>56</v>
      </c>
      <c r="S979" t="str">
        <v>Electronics</v>
      </c>
      <c r="T979">
        <v>3</v>
      </c>
      <c r="U979">
        <v>500</v>
      </c>
      <c r="V979">
        <v>1500</v>
      </c>
      <c r="W979">
        <v>1500</v>
      </c>
      <c r="X979">
        <v>2023</v>
      </c>
    </row>
    <row r="980" spans="1:24" x14ac:dyDescent="0.35">
      <c r="A980">
        <v>979</v>
      </c>
      <c r="B980" s="1">
        <v>44928</v>
      </c>
      <c r="C980" s="2" t="s">
        <v>20</v>
      </c>
      <c r="D980" s="2" t="s">
        <v>1007</v>
      </c>
      <c r="E980" s="2" t="s">
        <v>18</v>
      </c>
      <c r="F980">
        <v>19</v>
      </c>
      <c r="G980" s="2" t="s">
        <v>15</v>
      </c>
      <c r="H980">
        <v>1</v>
      </c>
      <c r="I980">
        <v>25</v>
      </c>
      <c r="J980">
        <v>25</v>
      </c>
      <c r="K980">
        <v>25</v>
      </c>
      <c r="L980">
        <v>2023</v>
      </c>
      <c r="M980">
        <v>860</v>
      </c>
      <c r="N980">
        <v>44935</v>
      </c>
      <c r="O980" t="str">
        <v>January</v>
      </c>
      <c r="P980" t="str">
        <v>CUST860</v>
      </c>
      <c r="Q980" t="str">
        <v>Male</v>
      </c>
      <c r="R980">
        <v>63</v>
      </c>
      <c r="S980" t="str">
        <v>Clothing</v>
      </c>
      <c r="T980">
        <v>4</v>
      </c>
      <c r="U980">
        <v>50</v>
      </c>
      <c r="V980">
        <v>200</v>
      </c>
      <c r="W980">
        <v>200</v>
      </c>
      <c r="X980">
        <v>2023</v>
      </c>
    </row>
    <row r="981" spans="1:24" x14ac:dyDescent="0.35">
      <c r="A981">
        <v>980</v>
      </c>
      <c r="B981" s="1">
        <v>45136</v>
      </c>
      <c r="C981" s="2" t="s">
        <v>70</v>
      </c>
      <c r="D981" s="2" t="s">
        <v>1008</v>
      </c>
      <c r="E981" s="2" t="s">
        <v>18</v>
      </c>
      <c r="F981">
        <v>31</v>
      </c>
      <c r="G981" s="2" t="s">
        <v>22</v>
      </c>
      <c r="H981">
        <v>3</v>
      </c>
      <c r="I981">
        <v>25</v>
      </c>
      <c r="J981">
        <v>75</v>
      </c>
      <c r="K981">
        <v>75</v>
      </c>
      <c r="L981">
        <v>2023</v>
      </c>
      <c r="M981">
        <v>861</v>
      </c>
      <c r="N981">
        <v>44974</v>
      </c>
      <c r="O981" t="str">
        <v>February</v>
      </c>
      <c r="P981" t="str">
        <v>CUST861</v>
      </c>
      <c r="Q981" t="str">
        <v>Female</v>
      </c>
      <c r="R981">
        <v>41</v>
      </c>
      <c r="S981" t="str">
        <v>Clothing</v>
      </c>
      <c r="T981">
        <v>3</v>
      </c>
      <c r="U981">
        <v>30</v>
      </c>
      <c r="V981">
        <v>90</v>
      </c>
      <c r="W981">
        <v>90</v>
      </c>
      <c r="X981">
        <v>2023</v>
      </c>
    </row>
    <row r="982" spans="1:24" x14ac:dyDescent="0.35">
      <c r="A982">
        <v>981</v>
      </c>
      <c r="B982" s="1">
        <v>45157</v>
      </c>
      <c r="C982" s="2" t="s">
        <v>37</v>
      </c>
      <c r="D982" s="2" t="s">
        <v>1009</v>
      </c>
      <c r="E982" s="2" t="s">
        <v>18</v>
      </c>
      <c r="F982">
        <v>30</v>
      </c>
      <c r="G982" s="2" t="s">
        <v>22</v>
      </c>
      <c r="H982">
        <v>2</v>
      </c>
      <c r="I982">
        <v>30</v>
      </c>
      <c r="J982">
        <v>60</v>
      </c>
      <c r="K982">
        <v>60</v>
      </c>
      <c r="L982">
        <v>2023</v>
      </c>
      <c r="M982">
        <v>862</v>
      </c>
      <c r="N982">
        <v>45077</v>
      </c>
      <c r="O982" t="str">
        <v>May</v>
      </c>
      <c r="P982" t="str">
        <v>CUST862</v>
      </c>
      <c r="Q982" t="str">
        <v>Male</v>
      </c>
      <c r="R982">
        <v>28</v>
      </c>
      <c r="S982" t="str">
        <v>Electronics</v>
      </c>
      <c r="T982">
        <v>4</v>
      </c>
      <c r="U982">
        <v>300</v>
      </c>
      <c r="V982">
        <v>1200</v>
      </c>
      <c r="W982">
        <v>1200</v>
      </c>
      <c r="X982">
        <v>2023</v>
      </c>
    </row>
    <row r="983" spans="1:24" x14ac:dyDescent="0.35">
      <c r="A983">
        <v>982</v>
      </c>
      <c r="B983" s="1">
        <v>45279</v>
      </c>
      <c r="C983" s="2" t="s">
        <v>31</v>
      </c>
      <c r="D983" s="2" t="s">
        <v>1010</v>
      </c>
      <c r="E983" s="2" t="s">
        <v>18</v>
      </c>
      <c r="F983">
        <v>46</v>
      </c>
      <c r="G983" s="2" t="s">
        <v>15</v>
      </c>
      <c r="H983">
        <v>3</v>
      </c>
      <c r="I983">
        <v>30</v>
      </c>
      <c r="J983">
        <v>90</v>
      </c>
      <c r="K983">
        <v>90</v>
      </c>
      <c r="L983">
        <v>2023</v>
      </c>
      <c r="M983">
        <v>863</v>
      </c>
      <c r="N983">
        <v>45040</v>
      </c>
      <c r="O983" t="str">
        <v>April</v>
      </c>
      <c r="P983" t="str">
        <v>CUST863</v>
      </c>
      <c r="Q983" t="str">
        <v>Female</v>
      </c>
      <c r="R983">
        <v>30</v>
      </c>
      <c r="S983" t="str">
        <v>Electronics</v>
      </c>
      <c r="T983">
        <v>2</v>
      </c>
      <c r="U983">
        <v>25</v>
      </c>
      <c r="V983">
        <v>50</v>
      </c>
      <c r="W983">
        <v>50</v>
      </c>
      <c r="X983">
        <v>2023</v>
      </c>
    </row>
    <row r="984" spans="1:24" x14ac:dyDescent="0.35">
      <c r="A984">
        <v>983</v>
      </c>
      <c r="B984" s="1">
        <v>45231</v>
      </c>
      <c r="C984" s="2" t="s">
        <v>12</v>
      </c>
      <c r="D984" s="2" t="s">
        <v>1011</v>
      </c>
      <c r="E984" s="2" t="s">
        <v>18</v>
      </c>
      <c r="F984">
        <v>29</v>
      </c>
      <c r="G984" s="2" t="s">
        <v>19</v>
      </c>
      <c r="H984">
        <v>1</v>
      </c>
      <c r="I984">
        <v>300</v>
      </c>
      <c r="J984">
        <v>300</v>
      </c>
      <c r="K984">
        <v>300</v>
      </c>
      <c r="L984">
        <v>2023</v>
      </c>
      <c r="M984">
        <v>864</v>
      </c>
      <c r="N984">
        <v>45134</v>
      </c>
      <c r="O984" t="str">
        <v>July</v>
      </c>
      <c r="P984" t="str">
        <v>CUST864</v>
      </c>
      <c r="Q984" t="str">
        <v>Female</v>
      </c>
      <c r="R984">
        <v>51</v>
      </c>
      <c r="S984" t="str">
        <v>Electronics</v>
      </c>
      <c r="T984">
        <v>1</v>
      </c>
      <c r="U984">
        <v>500</v>
      </c>
      <c r="V984">
        <v>500</v>
      </c>
      <c r="W984">
        <v>500</v>
      </c>
      <c r="X984">
        <v>2023</v>
      </c>
    </row>
    <row r="985" spans="1:24" x14ac:dyDescent="0.35">
      <c r="A985">
        <v>984</v>
      </c>
      <c r="B985" s="1">
        <v>45167</v>
      </c>
      <c r="C985" s="2" t="s">
        <v>37</v>
      </c>
      <c r="D985" s="2" t="s">
        <v>1012</v>
      </c>
      <c r="E985" s="2" t="s">
        <v>14</v>
      </c>
      <c r="F985">
        <v>56</v>
      </c>
      <c r="G985" s="2" t="s">
        <v>19</v>
      </c>
      <c r="H985">
        <v>1</v>
      </c>
      <c r="I985">
        <v>500</v>
      </c>
      <c r="J985">
        <v>500</v>
      </c>
      <c r="K985">
        <v>500</v>
      </c>
      <c r="L985">
        <v>2023</v>
      </c>
      <c r="M985">
        <v>865</v>
      </c>
      <c r="N985">
        <v>45281</v>
      </c>
      <c r="O985" t="str">
        <v>December</v>
      </c>
      <c r="P985" t="str">
        <v>CUST865</v>
      </c>
      <c r="Q985" t="str">
        <v>Female</v>
      </c>
      <c r="R985">
        <v>42</v>
      </c>
      <c r="S985" t="str">
        <v>Clothing</v>
      </c>
      <c r="T985">
        <v>1</v>
      </c>
      <c r="U985">
        <v>300</v>
      </c>
      <c r="V985">
        <v>300</v>
      </c>
      <c r="W985">
        <v>300</v>
      </c>
      <c r="X985">
        <v>2023</v>
      </c>
    </row>
    <row r="986" spans="1:24" x14ac:dyDescent="0.35">
      <c r="A986">
        <v>985</v>
      </c>
      <c r="B986" s="1">
        <v>45076</v>
      </c>
      <c r="C986" s="2" t="s">
        <v>23</v>
      </c>
      <c r="D986" s="2" t="s">
        <v>1013</v>
      </c>
      <c r="E986" s="2" t="s">
        <v>18</v>
      </c>
      <c r="F986">
        <v>19</v>
      </c>
      <c r="G986" s="2" t="s">
        <v>22</v>
      </c>
      <c r="H986">
        <v>2</v>
      </c>
      <c r="I986">
        <v>25</v>
      </c>
      <c r="J986">
        <v>50</v>
      </c>
      <c r="K986">
        <v>50</v>
      </c>
      <c r="L986">
        <v>2023</v>
      </c>
      <c r="M986">
        <v>866</v>
      </c>
      <c r="N986">
        <v>45051</v>
      </c>
      <c r="O986" t="str">
        <v>May</v>
      </c>
      <c r="P986" t="str">
        <v>CUST866</v>
      </c>
      <c r="Q986" t="str">
        <v>Male</v>
      </c>
      <c r="R986">
        <v>24</v>
      </c>
      <c r="S986" t="str">
        <v>Electronics</v>
      </c>
      <c r="T986">
        <v>1</v>
      </c>
      <c r="U986">
        <v>50</v>
      </c>
      <c r="V986">
        <v>50</v>
      </c>
      <c r="W986">
        <v>50</v>
      </c>
      <c r="X986">
        <v>2023</v>
      </c>
    </row>
    <row r="987" spans="1:24" x14ac:dyDescent="0.35">
      <c r="A987">
        <v>986</v>
      </c>
      <c r="B987" s="1">
        <v>44943</v>
      </c>
      <c r="C987" s="2" t="s">
        <v>20</v>
      </c>
      <c r="D987" s="2" t="s">
        <v>1014</v>
      </c>
      <c r="E987" s="2" t="s">
        <v>18</v>
      </c>
      <c r="F987">
        <v>49</v>
      </c>
      <c r="G987" s="2" t="s">
        <v>19</v>
      </c>
      <c r="H987">
        <v>2</v>
      </c>
      <c r="I987">
        <v>500</v>
      </c>
      <c r="J987">
        <v>1000</v>
      </c>
      <c r="K987">
        <v>1000</v>
      </c>
      <c r="L987">
        <v>2023</v>
      </c>
      <c r="M987">
        <v>867</v>
      </c>
      <c r="N987">
        <v>45083</v>
      </c>
      <c r="O987" t="str">
        <v>June</v>
      </c>
      <c r="P987" t="str">
        <v>CUST867</v>
      </c>
      <c r="Q987" t="str">
        <v>Male</v>
      </c>
      <c r="R987">
        <v>21</v>
      </c>
      <c r="S987" t="str">
        <v>Electronics</v>
      </c>
      <c r="T987">
        <v>1</v>
      </c>
      <c r="U987">
        <v>500</v>
      </c>
      <c r="V987">
        <v>500</v>
      </c>
      <c r="W987">
        <v>500</v>
      </c>
      <c r="X987">
        <v>2023</v>
      </c>
    </row>
    <row r="988" spans="1:24" x14ac:dyDescent="0.35">
      <c r="A988">
        <v>987</v>
      </c>
      <c r="B988" s="1">
        <v>45045</v>
      </c>
      <c r="C988" s="2" t="s">
        <v>26</v>
      </c>
      <c r="D988" s="2" t="s">
        <v>1015</v>
      </c>
      <c r="E988" s="2" t="s">
        <v>18</v>
      </c>
      <c r="F988">
        <v>30</v>
      </c>
      <c r="G988" s="2" t="s">
        <v>19</v>
      </c>
      <c r="H988">
        <v>3</v>
      </c>
      <c r="I988">
        <v>300</v>
      </c>
      <c r="J988">
        <v>900</v>
      </c>
      <c r="K988">
        <v>900</v>
      </c>
      <c r="L988">
        <v>2023</v>
      </c>
      <c r="M988">
        <v>868</v>
      </c>
      <c r="N988">
        <v>45266</v>
      </c>
      <c r="O988" t="str">
        <v>December</v>
      </c>
      <c r="P988" t="str">
        <v>CUST868</v>
      </c>
      <c r="Q988" t="str">
        <v>Female</v>
      </c>
      <c r="R988">
        <v>25</v>
      </c>
      <c r="S988" t="str">
        <v>Electronics</v>
      </c>
      <c r="T988">
        <v>1</v>
      </c>
      <c r="U988">
        <v>300</v>
      </c>
      <c r="V988">
        <v>300</v>
      </c>
      <c r="W988">
        <v>300</v>
      </c>
      <c r="X988">
        <v>2023</v>
      </c>
    </row>
    <row r="989" spans="1:24" x14ac:dyDescent="0.35">
      <c r="A989">
        <v>988</v>
      </c>
      <c r="B989" s="1">
        <v>45074</v>
      </c>
      <c r="C989" s="2" t="s">
        <v>23</v>
      </c>
      <c r="D989" s="2" t="s">
        <v>1016</v>
      </c>
      <c r="E989" s="2" t="s">
        <v>18</v>
      </c>
      <c r="F989">
        <v>63</v>
      </c>
      <c r="G989" s="2" t="s">
        <v>19</v>
      </c>
      <c r="H989">
        <v>3</v>
      </c>
      <c r="I989">
        <v>25</v>
      </c>
      <c r="J989">
        <v>75</v>
      </c>
      <c r="K989">
        <v>75</v>
      </c>
      <c r="L989">
        <v>2023</v>
      </c>
      <c r="M989">
        <v>869</v>
      </c>
      <c r="N989">
        <v>45224</v>
      </c>
      <c r="O989" t="str">
        <v>October</v>
      </c>
      <c r="P989" t="str">
        <v>CUST869</v>
      </c>
      <c r="Q989" t="str">
        <v>Male</v>
      </c>
      <c r="R989">
        <v>37</v>
      </c>
      <c r="S989" t="str">
        <v>Beauty</v>
      </c>
      <c r="T989">
        <v>3</v>
      </c>
      <c r="U989">
        <v>500</v>
      </c>
      <c r="V989">
        <v>1500</v>
      </c>
      <c r="W989">
        <v>1500</v>
      </c>
      <c r="X989">
        <v>2023</v>
      </c>
    </row>
    <row r="990" spans="1:24" x14ac:dyDescent="0.35">
      <c r="A990">
        <v>989</v>
      </c>
      <c r="B990" s="1">
        <v>45288</v>
      </c>
      <c r="C990" s="2" t="s">
        <v>31</v>
      </c>
      <c r="D990" s="2" t="s">
        <v>1017</v>
      </c>
      <c r="E990" s="2" t="s">
        <v>18</v>
      </c>
      <c r="F990">
        <v>44</v>
      </c>
      <c r="G990" s="2" t="s">
        <v>22</v>
      </c>
      <c r="H990">
        <v>1</v>
      </c>
      <c r="I990">
        <v>25</v>
      </c>
      <c r="J990">
        <v>25</v>
      </c>
      <c r="K990">
        <v>25</v>
      </c>
      <c r="L990">
        <v>2023</v>
      </c>
      <c r="M990">
        <v>870</v>
      </c>
      <c r="N990">
        <v>45115</v>
      </c>
      <c r="O990" t="str">
        <v>July</v>
      </c>
      <c r="P990" t="str">
        <v>CUST870</v>
      </c>
      <c r="Q990" t="str">
        <v>Female</v>
      </c>
      <c r="R990">
        <v>46</v>
      </c>
      <c r="S990" t="str">
        <v>Electronics</v>
      </c>
      <c r="T990">
        <v>4</v>
      </c>
      <c r="U990">
        <v>30</v>
      </c>
      <c r="V990">
        <v>120</v>
      </c>
      <c r="W990">
        <v>120</v>
      </c>
      <c r="X990">
        <v>2023</v>
      </c>
    </row>
    <row r="991" spans="1:24" x14ac:dyDescent="0.35">
      <c r="A991">
        <v>990</v>
      </c>
      <c r="B991" s="1">
        <v>45071</v>
      </c>
      <c r="C991" s="2" t="s">
        <v>23</v>
      </c>
      <c r="D991" s="2" t="s">
        <v>1018</v>
      </c>
      <c r="E991" s="2" t="s">
        <v>18</v>
      </c>
      <c r="F991">
        <v>58</v>
      </c>
      <c r="G991" s="2" t="s">
        <v>15</v>
      </c>
      <c r="H991">
        <v>2</v>
      </c>
      <c r="I991">
        <v>500</v>
      </c>
      <c r="J991">
        <v>1000</v>
      </c>
      <c r="K991">
        <v>1000</v>
      </c>
      <c r="L991">
        <v>2023</v>
      </c>
      <c r="M991">
        <v>871</v>
      </c>
      <c r="N991">
        <v>45169</v>
      </c>
      <c r="O991" t="str">
        <v>August</v>
      </c>
      <c r="P991" t="str">
        <v>CUST871</v>
      </c>
      <c r="Q991" t="str">
        <v>Male</v>
      </c>
      <c r="R991">
        <v>62</v>
      </c>
      <c r="S991" t="str">
        <v>Beauty</v>
      </c>
      <c r="T991">
        <v>2</v>
      </c>
      <c r="U991">
        <v>30</v>
      </c>
      <c r="V991">
        <v>60</v>
      </c>
      <c r="W991">
        <v>60</v>
      </c>
      <c r="X991">
        <v>2023</v>
      </c>
    </row>
    <row r="992" spans="1:24" x14ac:dyDescent="0.35">
      <c r="A992">
        <v>991</v>
      </c>
      <c r="B992" s="1">
        <v>45286</v>
      </c>
      <c r="C992" s="2" t="s">
        <v>31</v>
      </c>
      <c r="D992" s="2" t="s">
        <v>1019</v>
      </c>
      <c r="E992" s="2" t="s">
        <v>18</v>
      </c>
      <c r="F992">
        <v>34</v>
      </c>
      <c r="G992" s="2" t="s">
        <v>19</v>
      </c>
      <c r="H992">
        <v>2</v>
      </c>
      <c r="I992">
        <v>50</v>
      </c>
      <c r="J992">
        <v>100</v>
      </c>
      <c r="K992">
        <v>100</v>
      </c>
      <c r="L992">
        <v>2023</v>
      </c>
      <c r="M992">
        <v>872</v>
      </c>
      <c r="N992">
        <v>45210</v>
      </c>
      <c r="O992" t="str">
        <v>October</v>
      </c>
      <c r="P992" t="str">
        <v>CUST872</v>
      </c>
      <c r="Q992" t="str">
        <v>Female</v>
      </c>
      <c r="R992">
        <v>63</v>
      </c>
      <c r="S992" t="str">
        <v>Beauty</v>
      </c>
      <c r="T992">
        <v>3</v>
      </c>
      <c r="U992">
        <v>25</v>
      </c>
      <c r="V992">
        <v>75</v>
      </c>
      <c r="W992">
        <v>75</v>
      </c>
      <c r="X992">
        <v>2023</v>
      </c>
    </row>
    <row r="993" spans="1:24" x14ac:dyDescent="0.35">
      <c r="A993">
        <v>992</v>
      </c>
      <c r="B993" s="1">
        <v>45159</v>
      </c>
      <c r="C993" s="2" t="s">
        <v>37</v>
      </c>
      <c r="D993" s="2" t="s">
        <v>1020</v>
      </c>
      <c r="E993" s="2" t="s">
        <v>18</v>
      </c>
      <c r="F993">
        <v>57</v>
      </c>
      <c r="G993" s="2" t="s">
        <v>22</v>
      </c>
      <c r="H993">
        <v>2</v>
      </c>
      <c r="I993">
        <v>30</v>
      </c>
      <c r="J993">
        <v>60</v>
      </c>
      <c r="K993">
        <v>60</v>
      </c>
      <c r="L993">
        <v>2023</v>
      </c>
      <c r="M993">
        <v>873</v>
      </c>
      <c r="N993">
        <v>45198</v>
      </c>
      <c r="O993" t="str">
        <v>September</v>
      </c>
      <c r="P993" t="str">
        <v>CUST873</v>
      </c>
      <c r="Q993" t="str">
        <v>Female</v>
      </c>
      <c r="R993">
        <v>27</v>
      </c>
      <c r="S993" t="str">
        <v>Electronics</v>
      </c>
      <c r="T993">
        <v>4</v>
      </c>
      <c r="U993">
        <v>25</v>
      </c>
      <c r="V993">
        <v>100</v>
      </c>
      <c r="W993">
        <v>100</v>
      </c>
      <c r="X993">
        <v>2023</v>
      </c>
    </row>
    <row r="994" spans="1:24" x14ac:dyDescent="0.35">
      <c r="A994">
        <v>993</v>
      </c>
      <c r="B994" s="1">
        <v>44963</v>
      </c>
      <c r="C994" s="2" t="s">
        <v>16</v>
      </c>
      <c r="D994" s="2" t="s">
        <v>1021</v>
      </c>
      <c r="E994" s="2" t="s">
        <v>18</v>
      </c>
      <c r="F994">
        <v>48</v>
      </c>
      <c r="G994" s="2" t="s">
        <v>22</v>
      </c>
      <c r="H994">
        <v>3</v>
      </c>
      <c r="I994">
        <v>50</v>
      </c>
      <c r="J994">
        <v>150</v>
      </c>
      <c r="K994">
        <v>150</v>
      </c>
      <c r="L994">
        <v>2023</v>
      </c>
      <c r="M994">
        <v>874</v>
      </c>
      <c r="N994">
        <v>45103</v>
      </c>
      <c r="O994" t="str">
        <v>June</v>
      </c>
      <c r="P994" t="str">
        <v>CUST874</v>
      </c>
      <c r="Q994" t="str">
        <v>Male</v>
      </c>
      <c r="R994">
        <v>60</v>
      </c>
      <c r="S994" t="str">
        <v>Beauty</v>
      </c>
      <c r="T994">
        <v>1</v>
      </c>
      <c r="U994">
        <v>30</v>
      </c>
      <c r="V994">
        <v>30</v>
      </c>
      <c r="W994">
        <v>30</v>
      </c>
      <c r="X994">
        <v>2023</v>
      </c>
    </row>
    <row r="995" spans="1:24" x14ac:dyDescent="0.35">
      <c r="A995">
        <v>994</v>
      </c>
      <c r="B995" s="1">
        <v>45278</v>
      </c>
      <c r="C995" s="2" t="s">
        <v>31</v>
      </c>
      <c r="D995" s="2" t="s">
        <v>1022</v>
      </c>
      <c r="E995" s="2" t="s">
        <v>18</v>
      </c>
      <c r="F995">
        <v>51</v>
      </c>
      <c r="G995" s="2" t="s">
        <v>15</v>
      </c>
      <c r="H995">
        <v>2</v>
      </c>
      <c r="I995">
        <v>500</v>
      </c>
      <c r="J995">
        <v>1000</v>
      </c>
      <c r="K995">
        <v>1000</v>
      </c>
      <c r="L995">
        <v>2023</v>
      </c>
      <c r="M995">
        <v>875</v>
      </c>
      <c r="N995">
        <v>45144</v>
      </c>
      <c r="O995" t="str">
        <v>August</v>
      </c>
      <c r="P995" t="str">
        <v>CUST875</v>
      </c>
      <c r="Q995" t="str">
        <v>Female</v>
      </c>
      <c r="R995">
        <v>51</v>
      </c>
      <c r="S995" t="str">
        <v>Electronics</v>
      </c>
      <c r="T995">
        <v>4</v>
      </c>
      <c r="U995">
        <v>500</v>
      </c>
      <c r="V995">
        <v>2000</v>
      </c>
      <c r="W995">
        <v>2000</v>
      </c>
      <c r="X995">
        <v>2023</v>
      </c>
    </row>
    <row r="996" spans="1:24" x14ac:dyDescent="0.35">
      <c r="A996">
        <v>995</v>
      </c>
      <c r="B996" s="1">
        <v>45046</v>
      </c>
      <c r="C996" s="2" t="s">
        <v>26</v>
      </c>
      <c r="D996" s="2" t="s">
        <v>1023</v>
      </c>
      <c r="E996" s="2" t="s">
        <v>18</v>
      </c>
      <c r="F996">
        <v>41</v>
      </c>
      <c r="G996" s="2" t="s">
        <v>19</v>
      </c>
      <c r="H996">
        <v>1</v>
      </c>
      <c r="I996">
        <v>30</v>
      </c>
      <c r="J996">
        <v>30</v>
      </c>
      <c r="K996">
        <v>30</v>
      </c>
      <c r="L996">
        <v>2023</v>
      </c>
      <c r="M996">
        <v>876</v>
      </c>
      <c r="N996">
        <v>45208</v>
      </c>
      <c r="O996" t="str">
        <v>October</v>
      </c>
      <c r="P996" t="str">
        <v>CUST876</v>
      </c>
      <c r="Q996" t="str">
        <v>Male</v>
      </c>
      <c r="R996">
        <v>43</v>
      </c>
      <c r="S996" t="str">
        <v>Clothing</v>
      </c>
      <c r="T996">
        <v>4</v>
      </c>
      <c r="U996">
        <v>30</v>
      </c>
      <c r="V996">
        <v>120</v>
      </c>
      <c r="W996">
        <v>120</v>
      </c>
      <c r="X996">
        <v>2023</v>
      </c>
    </row>
    <row r="997" spans="1:24" x14ac:dyDescent="0.35">
      <c r="A997">
        <v>996</v>
      </c>
      <c r="B997" s="1">
        <v>45062</v>
      </c>
      <c r="C997" s="2" t="s">
        <v>23</v>
      </c>
      <c r="D997" s="2" t="s">
        <v>1024</v>
      </c>
      <c r="E997" s="2" t="s">
        <v>14</v>
      </c>
      <c r="F997">
        <v>62</v>
      </c>
      <c r="G997" s="2" t="s">
        <v>19</v>
      </c>
      <c r="H997">
        <v>1</v>
      </c>
      <c r="I997">
        <v>50</v>
      </c>
      <c r="J997">
        <v>50</v>
      </c>
      <c r="K997">
        <v>50</v>
      </c>
      <c r="L997">
        <v>2023</v>
      </c>
      <c r="M997">
        <v>877</v>
      </c>
      <c r="N997">
        <v>45096</v>
      </c>
      <c r="O997" t="str">
        <v>June</v>
      </c>
      <c r="P997" t="str">
        <v>CUST877</v>
      </c>
      <c r="Q997" t="str">
        <v>Female</v>
      </c>
      <c r="R997">
        <v>58</v>
      </c>
      <c r="S997" t="str">
        <v>Clothing</v>
      </c>
      <c r="T997">
        <v>1</v>
      </c>
      <c r="U997">
        <v>25</v>
      </c>
      <c r="V997">
        <v>25</v>
      </c>
      <c r="W997">
        <v>25</v>
      </c>
      <c r="X997">
        <v>2023</v>
      </c>
    </row>
    <row r="998" spans="1:24" x14ac:dyDescent="0.35">
      <c r="A998">
        <v>997</v>
      </c>
      <c r="B998" s="1">
        <v>45247</v>
      </c>
      <c r="C998" s="2" t="s">
        <v>12</v>
      </c>
      <c r="D998" s="2" t="s">
        <v>1025</v>
      </c>
      <c r="E998" s="2" t="s">
        <v>14</v>
      </c>
      <c r="F998">
        <v>52</v>
      </c>
      <c r="G998" s="2" t="s">
        <v>15</v>
      </c>
      <c r="H998">
        <v>3</v>
      </c>
      <c r="I998">
        <v>30</v>
      </c>
      <c r="J998">
        <v>90</v>
      </c>
      <c r="K998">
        <v>90</v>
      </c>
      <c r="L998">
        <v>2023</v>
      </c>
      <c r="M998">
        <v>878</v>
      </c>
      <c r="N998">
        <v>45107</v>
      </c>
      <c r="O998" t="str">
        <v>June</v>
      </c>
      <c r="P998" t="str">
        <v>CUST878</v>
      </c>
      <c r="Q998" t="str">
        <v>Female</v>
      </c>
      <c r="R998">
        <v>20</v>
      </c>
      <c r="S998" t="str">
        <v>Clothing</v>
      </c>
      <c r="T998">
        <v>1</v>
      </c>
      <c r="U998">
        <v>30</v>
      </c>
      <c r="V998">
        <v>30</v>
      </c>
      <c r="W998">
        <v>30</v>
      </c>
      <c r="X998">
        <v>2023</v>
      </c>
    </row>
    <row r="999" spans="1:24" x14ac:dyDescent="0.35">
      <c r="A999">
        <v>998</v>
      </c>
      <c r="B999" s="1">
        <v>45228</v>
      </c>
      <c r="C999" s="2" t="s">
        <v>33</v>
      </c>
      <c r="D999" s="2" t="s">
        <v>1026</v>
      </c>
      <c r="E999" s="2" t="s">
        <v>18</v>
      </c>
      <c r="F999">
        <v>23</v>
      </c>
      <c r="G999" s="2" t="s">
        <v>15</v>
      </c>
      <c r="H999">
        <v>4</v>
      </c>
      <c r="I999">
        <v>25</v>
      </c>
      <c r="J999">
        <v>100</v>
      </c>
      <c r="K999">
        <v>100</v>
      </c>
      <c r="L999">
        <v>2023</v>
      </c>
      <c r="M999">
        <v>879</v>
      </c>
      <c r="N999">
        <v>45286</v>
      </c>
      <c r="O999" t="str">
        <v>December</v>
      </c>
      <c r="P999" t="str">
        <v>CUST879</v>
      </c>
      <c r="Q999" t="str">
        <v>Male</v>
      </c>
      <c r="R999">
        <v>23</v>
      </c>
      <c r="S999" t="str">
        <v>Clothing</v>
      </c>
      <c r="T999">
        <v>1</v>
      </c>
      <c r="U999">
        <v>30</v>
      </c>
      <c r="V999">
        <v>30</v>
      </c>
      <c r="W999">
        <v>30</v>
      </c>
      <c r="X999">
        <v>2023</v>
      </c>
    </row>
    <row r="1000" spans="1:24" x14ac:dyDescent="0.35">
      <c r="A1000">
        <v>999</v>
      </c>
      <c r="B1000" s="1">
        <v>45265</v>
      </c>
      <c r="C1000" s="2" t="s">
        <v>31</v>
      </c>
      <c r="D1000" s="2" t="s">
        <v>1027</v>
      </c>
      <c r="E1000" s="2" t="s">
        <v>18</v>
      </c>
      <c r="F1000">
        <v>36</v>
      </c>
      <c r="G1000" s="2" t="s">
        <v>22</v>
      </c>
      <c r="H1000">
        <v>3</v>
      </c>
      <c r="I1000">
        <v>50</v>
      </c>
      <c r="J1000">
        <v>150</v>
      </c>
      <c r="K1000">
        <v>150</v>
      </c>
      <c r="L1000">
        <v>2023</v>
      </c>
      <c r="M1000">
        <v>880</v>
      </c>
      <c r="N1000">
        <v>45159</v>
      </c>
      <c r="O1000" t="str">
        <v>August</v>
      </c>
      <c r="P1000" t="str">
        <v>CUST880</v>
      </c>
      <c r="Q1000" t="str">
        <v>Male</v>
      </c>
      <c r="R1000">
        <v>22</v>
      </c>
      <c r="S1000" t="str">
        <v>Beauty</v>
      </c>
      <c r="T1000">
        <v>2</v>
      </c>
      <c r="U1000">
        <v>500</v>
      </c>
      <c r="V1000">
        <v>1000</v>
      </c>
      <c r="W1000">
        <v>1000</v>
      </c>
      <c r="X1000">
        <v>2023</v>
      </c>
    </row>
    <row r="1001" spans="1:24" x14ac:dyDescent="0.35">
      <c r="A1001">
        <v>1000</v>
      </c>
      <c r="B1001" s="1">
        <v>45028</v>
      </c>
      <c r="C1001" s="2" t="s">
        <v>26</v>
      </c>
      <c r="D1001" s="2" t="s">
        <v>1028</v>
      </c>
      <c r="E1001" s="2" t="s">
        <v>14</v>
      </c>
      <c r="F1001">
        <v>47</v>
      </c>
      <c r="G1001" s="2" t="s">
        <v>22</v>
      </c>
      <c r="H1001">
        <v>4</v>
      </c>
      <c r="I1001">
        <v>30</v>
      </c>
      <c r="J1001">
        <v>120</v>
      </c>
      <c r="K1001">
        <v>120</v>
      </c>
      <c r="L1001">
        <v>2023</v>
      </c>
      <c r="M1001">
        <v>881</v>
      </c>
      <c r="N1001">
        <v>45065</v>
      </c>
      <c r="O1001" t="str">
        <v>May</v>
      </c>
      <c r="P1001" t="str">
        <v>CUST881</v>
      </c>
      <c r="Q1001" t="str">
        <v>Male</v>
      </c>
      <c r="R1001">
        <v>22</v>
      </c>
      <c r="S1001" t="str">
        <v>Electronics</v>
      </c>
      <c r="T1001">
        <v>1</v>
      </c>
      <c r="U1001">
        <v>300</v>
      </c>
      <c r="V1001">
        <v>300</v>
      </c>
      <c r="W1001">
        <v>300</v>
      </c>
      <c r="X1001">
        <v>2023</v>
      </c>
    </row>
    <row r="1002" spans="1:24" x14ac:dyDescent="0.35">
      <c r="M1002">
        <v>882</v>
      </c>
      <c r="N1002">
        <v>45083</v>
      </c>
      <c r="O1002" t="str">
        <v>June</v>
      </c>
      <c r="P1002" t="str">
        <v>CUST882</v>
      </c>
      <c r="Q1002" t="str">
        <v>Female</v>
      </c>
      <c r="R1002">
        <v>64</v>
      </c>
      <c r="S1002" t="str">
        <v>Electronics</v>
      </c>
      <c r="T1002">
        <v>2</v>
      </c>
      <c r="U1002">
        <v>25</v>
      </c>
      <c r="V1002">
        <v>50</v>
      </c>
      <c r="W1002">
        <v>50</v>
      </c>
      <c r="X1002">
        <v>2023</v>
      </c>
    </row>
    <row r="1003" spans="1:24" x14ac:dyDescent="0.35">
      <c r="M1003">
        <v>883</v>
      </c>
      <c r="N1003">
        <v>45055</v>
      </c>
      <c r="O1003" t="str">
        <v>May</v>
      </c>
      <c r="P1003" t="str">
        <v>CUST883</v>
      </c>
      <c r="Q1003" t="str">
        <v>Male</v>
      </c>
      <c r="R1003">
        <v>40</v>
      </c>
      <c r="S1003" t="str">
        <v>Electronics</v>
      </c>
      <c r="T1003">
        <v>1</v>
      </c>
      <c r="U1003">
        <v>500</v>
      </c>
      <c r="V1003">
        <v>500</v>
      </c>
      <c r="W1003">
        <v>500</v>
      </c>
      <c r="X1003">
        <v>2023</v>
      </c>
    </row>
    <row r="1004" spans="1:24" x14ac:dyDescent="0.35">
      <c r="M1004">
        <v>884</v>
      </c>
      <c r="N1004">
        <v>45045</v>
      </c>
      <c r="O1004" t="str">
        <v>April</v>
      </c>
      <c r="P1004" t="str">
        <v>CUST884</v>
      </c>
      <c r="Q1004" t="str">
        <v>Female</v>
      </c>
      <c r="R1004">
        <v>26</v>
      </c>
      <c r="S1004" t="str">
        <v>Clothing</v>
      </c>
      <c r="T1004">
        <v>2</v>
      </c>
      <c r="U1004">
        <v>30</v>
      </c>
      <c r="V1004">
        <v>60</v>
      </c>
      <c r="W1004">
        <v>60</v>
      </c>
      <c r="X1004">
        <v>2023</v>
      </c>
    </row>
    <row r="1005" spans="1:24" x14ac:dyDescent="0.35">
      <c r="M1005">
        <v>885</v>
      </c>
      <c r="N1005">
        <v>44988</v>
      </c>
      <c r="O1005" t="str">
        <v>March</v>
      </c>
      <c r="P1005" t="str">
        <v>CUST885</v>
      </c>
      <c r="Q1005" t="str">
        <v>Female</v>
      </c>
      <c r="R1005">
        <v>52</v>
      </c>
      <c r="S1005" t="str">
        <v>Clothing</v>
      </c>
      <c r="T1005">
        <v>4</v>
      </c>
      <c r="U1005">
        <v>30</v>
      </c>
      <c r="V1005">
        <v>120</v>
      </c>
      <c r="W1005">
        <v>120</v>
      </c>
      <c r="X1005">
        <v>2023</v>
      </c>
    </row>
    <row r="1006" spans="1:24" x14ac:dyDescent="0.35">
      <c r="M1006">
        <v>886</v>
      </c>
      <c r="N1006">
        <v>45025</v>
      </c>
      <c r="O1006" t="str">
        <v>April</v>
      </c>
      <c r="P1006" t="str">
        <v>CUST886</v>
      </c>
      <c r="Q1006" t="str">
        <v>Male</v>
      </c>
      <c r="R1006">
        <v>37</v>
      </c>
      <c r="S1006" t="str">
        <v>Electronics</v>
      </c>
      <c r="T1006">
        <v>3</v>
      </c>
      <c r="U1006">
        <v>300</v>
      </c>
      <c r="V1006">
        <v>900</v>
      </c>
      <c r="W1006">
        <v>900</v>
      </c>
      <c r="X1006">
        <v>2023</v>
      </c>
    </row>
    <row r="1007" spans="1:24" x14ac:dyDescent="0.35">
      <c r="M1007">
        <v>887</v>
      </c>
      <c r="N1007">
        <v>45088</v>
      </c>
      <c r="O1007" t="str">
        <v>June</v>
      </c>
      <c r="P1007" t="str">
        <v>CUST887</v>
      </c>
      <c r="Q1007" t="str">
        <v>Male</v>
      </c>
      <c r="R1007">
        <v>59</v>
      </c>
      <c r="S1007" t="str">
        <v>Clothing</v>
      </c>
      <c r="T1007">
        <v>4</v>
      </c>
      <c r="U1007">
        <v>25</v>
      </c>
      <c r="V1007">
        <v>100</v>
      </c>
      <c r="W1007">
        <v>100</v>
      </c>
      <c r="X1007">
        <v>2023</v>
      </c>
    </row>
    <row r="1008" spans="1:24" x14ac:dyDescent="0.35">
      <c r="M1008">
        <v>888</v>
      </c>
      <c r="N1008">
        <v>44988</v>
      </c>
      <c r="O1008" t="str">
        <v>March</v>
      </c>
      <c r="P1008" t="str">
        <v>CUST888</v>
      </c>
      <c r="Q1008" t="str">
        <v>Female</v>
      </c>
      <c r="R1008">
        <v>52</v>
      </c>
      <c r="S1008" t="str">
        <v>Electronics</v>
      </c>
      <c r="T1008">
        <v>4</v>
      </c>
      <c r="U1008">
        <v>25</v>
      </c>
      <c r="V1008">
        <v>100</v>
      </c>
      <c r="W1008">
        <v>100</v>
      </c>
      <c r="X1008">
        <v>2023</v>
      </c>
    </row>
    <row r="1009" spans="13:24" x14ac:dyDescent="0.35">
      <c r="M1009">
        <v>889</v>
      </c>
      <c r="N1009">
        <v>45201</v>
      </c>
      <c r="O1009" t="str">
        <v>October</v>
      </c>
      <c r="P1009" t="str">
        <v>CUST889</v>
      </c>
      <c r="Q1009" t="str">
        <v>Female</v>
      </c>
      <c r="R1009">
        <v>35</v>
      </c>
      <c r="S1009" t="str">
        <v>Electronics</v>
      </c>
      <c r="T1009">
        <v>1</v>
      </c>
      <c r="U1009">
        <v>50</v>
      </c>
      <c r="V1009">
        <v>50</v>
      </c>
      <c r="W1009">
        <v>50</v>
      </c>
      <c r="X1009">
        <v>2023</v>
      </c>
    </row>
    <row r="1010" spans="13:24" x14ac:dyDescent="0.35">
      <c r="M1010">
        <v>890</v>
      </c>
      <c r="N1010">
        <v>45280</v>
      </c>
      <c r="O1010" t="str">
        <v>December</v>
      </c>
      <c r="P1010" t="str">
        <v>CUST890</v>
      </c>
      <c r="Q1010" t="str">
        <v>Male</v>
      </c>
      <c r="R1010">
        <v>34</v>
      </c>
      <c r="S1010" t="str">
        <v>Electronics</v>
      </c>
      <c r="T1010">
        <v>2</v>
      </c>
      <c r="U1010">
        <v>25</v>
      </c>
      <c r="V1010">
        <v>50</v>
      </c>
      <c r="W1010">
        <v>50</v>
      </c>
      <c r="X1010">
        <v>2023</v>
      </c>
    </row>
    <row r="1011" spans="13:24" x14ac:dyDescent="0.35">
      <c r="M1011">
        <v>891</v>
      </c>
      <c r="N1011">
        <v>45021</v>
      </c>
      <c r="O1011" t="str">
        <v>April</v>
      </c>
      <c r="P1011" t="str">
        <v>CUST891</v>
      </c>
      <c r="Q1011" t="str">
        <v>Male</v>
      </c>
      <c r="R1011">
        <v>41</v>
      </c>
      <c r="S1011" t="str">
        <v>Electronics</v>
      </c>
      <c r="T1011">
        <v>3</v>
      </c>
      <c r="U1011">
        <v>300</v>
      </c>
      <c r="V1011">
        <v>900</v>
      </c>
      <c r="W1011">
        <v>900</v>
      </c>
      <c r="X1011">
        <v>2023</v>
      </c>
    </row>
    <row r="1012" spans="13:24" x14ac:dyDescent="0.35">
      <c r="M1012">
        <v>892</v>
      </c>
      <c r="N1012">
        <v>45025</v>
      </c>
      <c r="O1012" t="str">
        <v>April</v>
      </c>
      <c r="P1012" t="str">
        <v>CUST892</v>
      </c>
      <c r="Q1012" t="str">
        <v>Male</v>
      </c>
      <c r="R1012">
        <v>20</v>
      </c>
      <c r="S1012" t="str">
        <v>Electronics</v>
      </c>
      <c r="T1012">
        <v>1</v>
      </c>
      <c r="U1012">
        <v>50</v>
      </c>
      <c r="V1012">
        <v>50</v>
      </c>
      <c r="W1012">
        <v>50</v>
      </c>
      <c r="X1012">
        <v>2023</v>
      </c>
    </row>
    <row r="1013" spans="13:24" x14ac:dyDescent="0.35">
      <c r="M1013">
        <v>893</v>
      </c>
      <c r="N1013">
        <v>45037</v>
      </c>
      <c r="O1013" t="str">
        <v>April</v>
      </c>
      <c r="P1013" t="str">
        <v>CUST893</v>
      </c>
      <c r="Q1013" t="str">
        <v>Male</v>
      </c>
      <c r="R1013">
        <v>49</v>
      </c>
      <c r="S1013" t="str">
        <v>Electronics</v>
      </c>
      <c r="T1013">
        <v>1</v>
      </c>
      <c r="U1013">
        <v>50</v>
      </c>
      <c r="V1013">
        <v>50</v>
      </c>
      <c r="W1013">
        <v>50</v>
      </c>
      <c r="X1013">
        <v>2023</v>
      </c>
    </row>
    <row r="1014" spans="13:24" x14ac:dyDescent="0.35">
      <c r="M1014">
        <v>894</v>
      </c>
      <c r="N1014">
        <v>45174</v>
      </c>
      <c r="O1014" t="str">
        <v>September</v>
      </c>
      <c r="P1014" t="str">
        <v>CUST894</v>
      </c>
      <c r="Q1014" t="str">
        <v>Male</v>
      </c>
      <c r="R1014">
        <v>52</v>
      </c>
      <c r="S1014" t="str">
        <v>Electronics</v>
      </c>
      <c r="T1014">
        <v>1</v>
      </c>
      <c r="U1014">
        <v>30</v>
      </c>
      <c r="V1014">
        <v>30</v>
      </c>
      <c r="W1014">
        <v>30</v>
      </c>
      <c r="X1014">
        <v>2023</v>
      </c>
    </row>
    <row r="1015" spans="13:24" x14ac:dyDescent="0.35">
      <c r="M1015">
        <v>895</v>
      </c>
      <c r="N1015">
        <v>45068</v>
      </c>
      <c r="O1015" t="str">
        <v>May</v>
      </c>
      <c r="P1015" t="str">
        <v>CUST895</v>
      </c>
      <c r="Q1015" t="str">
        <v>Female</v>
      </c>
      <c r="R1015">
        <v>55</v>
      </c>
      <c r="S1015" t="str">
        <v>Clothing</v>
      </c>
      <c r="T1015">
        <v>4</v>
      </c>
      <c r="U1015">
        <v>30</v>
      </c>
      <c r="V1015">
        <v>120</v>
      </c>
      <c r="W1015">
        <v>120</v>
      </c>
      <c r="X1015">
        <v>2023</v>
      </c>
    </row>
    <row r="1016" spans="13:24" x14ac:dyDescent="0.35">
      <c r="M1016">
        <v>896</v>
      </c>
      <c r="N1016">
        <v>45228</v>
      </c>
      <c r="O1016" t="str">
        <v>October</v>
      </c>
      <c r="P1016" t="str">
        <v>CUST896</v>
      </c>
      <c r="Q1016" t="str">
        <v>Female</v>
      </c>
      <c r="R1016">
        <v>30</v>
      </c>
      <c r="S1016" t="str">
        <v>Electronics</v>
      </c>
      <c r="T1016">
        <v>2</v>
      </c>
      <c r="U1016">
        <v>25</v>
      </c>
      <c r="V1016">
        <v>50</v>
      </c>
      <c r="W1016">
        <v>50</v>
      </c>
      <c r="X1016">
        <v>2023</v>
      </c>
    </row>
    <row r="1017" spans="13:24" x14ac:dyDescent="0.35">
      <c r="M1017">
        <v>897</v>
      </c>
      <c r="N1017">
        <v>45195</v>
      </c>
      <c r="O1017" t="str">
        <v>September</v>
      </c>
      <c r="P1017" t="str">
        <v>CUST897</v>
      </c>
      <c r="Q1017" t="str">
        <v>Female</v>
      </c>
      <c r="R1017">
        <v>64</v>
      </c>
      <c r="S1017" t="str">
        <v>Electronics</v>
      </c>
      <c r="T1017">
        <v>2</v>
      </c>
      <c r="U1017">
        <v>50</v>
      </c>
      <c r="V1017">
        <v>100</v>
      </c>
      <c r="W1017">
        <v>100</v>
      </c>
      <c r="X1017">
        <v>2023</v>
      </c>
    </row>
    <row r="1018" spans="13:24" x14ac:dyDescent="0.35">
      <c r="M1018">
        <v>898</v>
      </c>
      <c r="N1018">
        <v>45232</v>
      </c>
      <c r="O1018" t="str">
        <v>November</v>
      </c>
      <c r="P1018" t="str">
        <v>CUST898</v>
      </c>
      <c r="Q1018" t="str">
        <v>Female</v>
      </c>
      <c r="R1018">
        <v>42</v>
      </c>
      <c r="S1018" t="str">
        <v>Clothing</v>
      </c>
      <c r="T1018">
        <v>3</v>
      </c>
      <c r="U1018">
        <v>30</v>
      </c>
      <c r="V1018">
        <v>90</v>
      </c>
      <c r="W1018">
        <v>90</v>
      </c>
      <c r="X1018">
        <v>2023</v>
      </c>
    </row>
    <row r="1019" spans="13:24" x14ac:dyDescent="0.35">
      <c r="M1019">
        <v>899</v>
      </c>
      <c r="N1019">
        <v>45071</v>
      </c>
      <c r="O1019" t="str">
        <v>May</v>
      </c>
      <c r="P1019" t="str">
        <v>CUST899</v>
      </c>
      <c r="Q1019" t="str">
        <v>Male</v>
      </c>
      <c r="R1019">
        <v>26</v>
      </c>
      <c r="S1019" t="str">
        <v>Clothing</v>
      </c>
      <c r="T1019">
        <v>2</v>
      </c>
      <c r="U1019">
        <v>300</v>
      </c>
      <c r="V1019">
        <v>600</v>
      </c>
      <c r="W1019">
        <v>600</v>
      </c>
      <c r="X1019">
        <v>2023</v>
      </c>
    </row>
    <row r="1020" spans="13:24" x14ac:dyDescent="0.35">
      <c r="M1020">
        <v>900</v>
      </c>
      <c r="N1020">
        <v>44978</v>
      </c>
      <c r="O1020" t="str">
        <v>February</v>
      </c>
      <c r="P1020" t="str">
        <v>CUST900</v>
      </c>
      <c r="Q1020" t="str">
        <v>Male</v>
      </c>
      <c r="R1020">
        <v>21</v>
      </c>
      <c r="S1020" t="str">
        <v>Clothing</v>
      </c>
      <c r="T1020">
        <v>2</v>
      </c>
      <c r="U1020">
        <v>30</v>
      </c>
      <c r="V1020">
        <v>60</v>
      </c>
      <c r="W1020">
        <v>60</v>
      </c>
      <c r="X1020">
        <v>2023</v>
      </c>
    </row>
    <row r="1021" spans="13:24" x14ac:dyDescent="0.35">
      <c r="M1021">
        <v>901</v>
      </c>
      <c r="N1021">
        <v>45026</v>
      </c>
      <c r="O1021" t="str">
        <v>April</v>
      </c>
      <c r="P1021" t="str">
        <v>CUST901</v>
      </c>
      <c r="Q1021" t="str">
        <v>Male</v>
      </c>
      <c r="R1021">
        <v>31</v>
      </c>
      <c r="S1021" t="str">
        <v>Electronics</v>
      </c>
      <c r="T1021">
        <v>1</v>
      </c>
      <c r="U1021">
        <v>30</v>
      </c>
      <c r="V1021">
        <v>30</v>
      </c>
      <c r="W1021">
        <v>30</v>
      </c>
      <c r="X1021">
        <v>2023</v>
      </c>
    </row>
    <row r="1022" spans="13:24" x14ac:dyDescent="0.35">
      <c r="M1022">
        <v>902</v>
      </c>
      <c r="N1022">
        <v>45078</v>
      </c>
      <c r="O1022" t="str">
        <v>June</v>
      </c>
      <c r="P1022" t="str">
        <v>CUST902</v>
      </c>
      <c r="Q1022" t="str">
        <v>Female</v>
      </c>
      <c r="R1022">
        <v>54</v>
      </c>
      <c r="S1022" t="str">
        <v>Beauty</v>
      </c>
      <c r="T1022">
        <v>1</v>
      </c>
      <c r="U1022">
        <v>50</v>
      </c>
      <c r="V1022">
        <v>50</v>
      </c>
      <c r="W1022">
        <v>50</v>
      </c>
      <c r="X1022">
        <v>2023</v>
      </c>
    </row>
    <row r="1023" spans="13:24" x14ac:dyDescent="0.35">
      <c r="M1023">
        <v>903</v>
      </c>
      <c r="N1023">
        <v>45043</v>
      </c>
      <c r="O1023" t="str">
        <v>April</v>
      </c>
      <c r="P1023" t="str">
        <v>CUST903</v>
      </c>
      <c r="Q1023" t="str">
        <v>Female</v>
      </c>
      <c r="R1023">
        <v>51</v>
      </c>
      <c r="S1023" t="str">
        <v>Beauty</v>
      </c>
      <c r="T1023">
        <v>4</v>
      </c>
      <c r="U1023">
        <v>50</v>
      </c>
      <c r="V1023">
        <v>200</v>
      </c>
      <c r="W1023">
        <v>200</v>
      </c>
      <c r="X1023">
        <v>2023</v>
      </c>
    </row>
    <row r="1024" spans="13:24" x14ac:dyDescent="0.35">
      <c r="M1024">
        <v>904</v>
      </c>
      <c r="N1024">
        <v>45111</v>
      </c>
      <c r="O1024" t="str">
        <v>July</v>
      </c>
      <c r="P1024" t="str">
        <v>CUST904</v>
      </c>
      <c r="Q1024" t="str">
        <v>Male</v>
      </c>
      <c r="R1024">
        <v>28</v>
      </c>
      <c r="S1024" t="str">
        <v>Clothing</v>
      </c>
      <c r="T1024">
        <v>1</v>
      </c>
      <c r="U1024">
        <v>500</v>
      </c>
      <c r="V1024">
        <v>500</v>
      </c>
      <c r="W1024">
        <v>500</v>
      </c>
      <c r="X1024">
        <v>2023</v>
      </c>
    </row>
    <row r="1025" spans="13:24" x14ac:dyDescent="0.35">
      <c r="M1025">
        <v>905</v>
      </c>
      <c r="N1025">
        <v>45018</v>
      </c>
      <c r="O1025" t="str">
        <v>April</v>
      </c>
      <c r="P1025" t="str">
        <v>CUST905</v>
      </c>
      <c r="Q1025" t="str">
        <v>Male</v>
      </c>
      <c r="R1025">
        <v>58</v>
      </c>
      <c r="S1025" t="str">
        <v>Beauty</v>
      </c>
      <c r="T1025">
        <v>1</v>
      </c>
      <c r="U1025">
        <v>300</v>
      </c>
      <c r="V1025">
        <v>300</v>
      </c>
      <c r="W1025">
        <v>300</v>
      </c>
      <c r="X1025">
        <v>2023</v>
      </c>
    </row>
    <row r="1026" spans="13:24" x14ac:dyDescent="0.35">
      <c r="M1026">
        <v>906</v>
      </c>
      <c r="N1026">
        <v>45081</v>
      </c>
      <c r="O1026" t="str">
        <v>June</v>
      </c>
      <c r="P1026" t="str">
        <v>CUST906</v>
      </c>
      <c r="Q1026" t="str">
        <v>Female</v>
      </c>
      <c r="R1026">
        <v>20</v>
      </c>
      <c r="S1026" t="str">
        <v>Clothing</v>
      </c>
      <c r="T1026">
        <v>1</v>
      </c>
      <c r="U1026">
        <v>50</v>
      </c>
      <c r="V1026">
        <v>50</v>
      </c>
      <c r="W1026">
        <v>50</v>
      </c>
      <c r="X1026">
        <v>2023</v>
      </c>
    </row>
    <row r="1027" spans="13:24" x14ac:dyDescent="0.35">
      <c r="M1027">
        <v>907</v>
      </c>
      <c r="N1027">
        <v>44934</v>
      </c>
      <c r="O1027" t="str">
        <v>January</v>
      </c>
      <c r="P1027" t="str">
        <v>CUST907</v>
      </c>
      <c r="Q1027" t="str">
        <v>Female</v>
      </c>
      <c r="R1027">
        <v>45</v>
      </c>
      <c r="S1027" t="str">
        <v>Electronics</v>
      </c>
      <c r="T1027">
        <v>1</v>
      </c>
      <c r="U1027">
        <v>25</v>
      </c>
      <c r="V1027">
        <v>25</v>
      </c>
      <c r="W1027">
        <v>25</v>
      </c>
      <c r="X1027">
        <v>2023</v>
      </c>
    </row>
    <row r="1028" spans="13:24" x14ac:dyDescent="0.35">
      <c r="M1028">
        <v>908</v>
      </c>
      <c r="N1028">
        <v>45289</v>
      </c>
      <c r="O1028" t="str">
        <v>December</v>
      </c>
      <c r="P1028" t="str">
        <v>CUST908</v>
      </c>
      <c r="Q1028" t="str">
        <v>Male</v>
      </c>
      <c r="R1028">
        <v>46</v>
      </c>
      <c r="S1028" t="str">
        <v>Beauty</v>
      </c>
      <c r="T1028">
        <v>4</v>
      </c>
      <c r="U1028">
        <v>300</v>
      </c>
      <c r="V1028">
        <v>1200</v>
      </c>
      <c r="W1028">
        <v>1200</v>
      </c>
      <c r="X1028">
        <v>2023</v>
      </c>
    </row>
    <row r="1029" spans="13:24" x14ac:dyDescent="0.35">
      <c r="M1029">
        <v>909</v>
      </c>
      <c r="N1029">
        <v>45200</v>
      </c>
      <c r="O1029" t="str">
        <v>October</v>
      </c>
      <c r="P1029" t="str">
        <v>CUST909</v>
      </c>
      <c r="Q1029" t="str">
        <v>Male</v>
      </c>
      <c r="R1029">
        <v>26</v>
      </c>
      <c r="S1029" t="str">
        <v>Electronics</v>
      </c>
      <c r="T1029">
        <v>1</v>
      </c>
      <c r="U1029">
        <v>300</v>
      </c>
      <c r="V1029">
        <v>300</v>
      </c>
      <c r="W1029">
        <v>300</v>
      </c>
      <c r="X1029">
        <v>2023</v>
      </c>
    </row>
    <row r="1030" spans="13:24" x14ac:dyDescent="0.35">
      <c r="M1030">
        <v>910</v>
      </c>
      <c r="N1030">
        <v>44991</v>
      </c>
      <c r="O1030" t="str">
        <v>March</v>
      </c>
      <c r="P1030" t="str">
        <v>CUST910</v>
      </c>
      <c r="Q1030" t="str">
        <v>Female</v>
      </c>
      <c r="R1030">
        <v>20</v>
      </c>
      <c r="S1030" t="str">
        <v>Beauty</v>
      </c>
      <c r="T1030">
        <v>3</v>
      </c>
      <c r="U1030">
        <v>50</v>
      </c>
      <c r="V1030">
        <v>150</v>
      </c>
      <c r="W1030">
        <v>150</v>
      </c>
      <c r="X1030">
        <v>2023</v>
      </c>
    </row>
    <row r="1031" spans="13:24" x14ac:dyDescent="0.35">
      <c r="M1031">
        <v>911</v>
      </c>
      <c r="N1031">
        <v>45067</v>
      </c>
      <c r="O1031" t="str">
        <v>May</v>
      </c>
      <c r="P1031" t="str">
        <v>CUST911</v>
      </c>
      <c r="Q1031" t="str">
        <v>Male</v>
      </c>
      <c r="R1031">
        <v>42</v>
      </c>
      <c r="S1031" t="str">
        <v>Electronics</v>
      </c>
      <c r="T1031">
        <v>3</v>
      </c>
      <c r="U1031">
        <v>300</v>
      </c>
      <c r="V1031">
        <v>900</v>
      </c>
      <c r="W1031">
        <v>900</v>
      </c>
      <c r="X1031">
        <v>2023</v>
      </c>
    </row>
    <row r="1032" spans="13:24" x14ac:dyDescent="0.35">
      <c r="M1032">
        <v>912</v>
      </c>
      <c r="N1032">
        <v>44950</v>
      </c>
      <c r="O1032" t="str">
        <v>January</v>
      </c>
      <c r="P1032" t="str">
        <v>CUST912</v>
      </c>
      <c r="Q1032" t="str">
        <v>Male</v>
      </c>
      <c r="R1032">
        <v>51</v>
      </c>
      <c r="S1032" t="str">
        <v>Beauty</v>
      </c>
      <c r="T1032">
        <v>3</v>
      </c>
      <c r="U1032">
        <v>50</v>
      </c>
      <c r="V1032">
        <v>150</v>
      </c>
      <c r="W1032">
        <v>150</v>
      </c>
      <c r="X1032">
        <v>2023</v>
      </c>
    </row>
    <row r="1033" spans="13:24" x14ac:dyDescent="0.35">
      <c r="M1033">
        <v>913</v>
      </c>
      <c r="N1033">
        <v>44954</v>
      </c>
      <c r="O1033" t="str">
        <v>January</v>
      </c>
      <c r="P1033" t="str">
        <v>CUST913</v>
      </c>
      <c r="Q1033" t="str">
        <v>Male</v>
      </c>
      <c r="R1033">
        <v>29</v>
      </c>
      <c r="S1033" t="str">
        <v>Electronics</v>
      </c>
      <c r="T1033">
        <v>3</v>
      </c>
      <c r="U1033">
        <v>30</v>
      </c>
      <c r="V1033">
        <v>90</v>
      </c>
      <c r="W1033">
        <v>90</v>
      </c>
      <c r="X1033">
        <v>2023</v>
      </c>
    </row>
    <row r="1034" spans="13:24" x14ac:dyDescent="0.35">
      <c r="M1034">
        <v>914</v>
      </c>
      <c r="N1034">
        <v>45210</v>
      </c>
      <c r="O1034" t="str">
        <v>October</v>
      </c>
      <c r="P1034" t="str">
        <v>CUST914</v>
      </c>
      <c r="Q1034" t="str">
        <v>Female</v>
      </c>
      <c r="R1034">
        <v>59</v>
      </c>
      <c r="S1034" t="str">
        <v>Electronics</v>
      </c>
      <c r="T1034">
        <v>1</v>
      </c>
      <c r="U1034">
        <v>500</v>
      </c>
      <c r="V1034">
        <v>500</v>
      </c>
      <c r="W1034">
        <v>500</v>
      </c>
      <c r="X1034">
        <v>2023</v>
      </c>
    </row>
    <row r="1035" spans="13:24" x14ac:dyDescent="0.35">
      <c r="M1035">
        <v>915</v>
      </c>
      <c r="N1035">
        <v>45076</v>
      </c>
      <c r="O1035" t="str">
        <v>May</v>
      </c>
      <c r="P1035" t="str">
        <v>CUST915</v>
      </c>
      <c r="Q1035" t="str">
        <v>Female</v>
      </c>
      <c r="R1035">
        <v>26</v>
      </c>
      <c r="S1035" t="str">
        <v>Beauty</v>
      </c>
      <c r="T1035">
        <v>3</v>
      </c>
      <c r="U1035">
        <v>30</v>
      </c>
      <c r="V1035">
        <v>90</v>
      </c>
      <c r="W1035">
        <v>90</v>
      </c>
      <c r="X1035">
        <v>2023</v>
      </c>
    </row>
    <row r="1036" spans="13:24" x14ac:dyDescent="0.35">
      <c r="M1036">
        <v>916</v>
      </c>
      <c r="N1036">
        <v>45284</v>
      </c>
      <c r="O1036" t="str">
        <v>December</v>
      </c>
      <c r="P1036" t="str">
        <v>CUST916</v>
      </c>
      <c r="Q1036" t="str">
        <v>Female</v>
      </c>
      <c r="R1036">
        <v>32</v>
      </c>
      <c r="S1036" t="str">
        <v>Electronics</v>
      </c>
      <c r="T1036">
        <v>1</v>
      </c>
      <c r="U1036">
        <v>50</v>
      </c>
      <c r="V1036">
        <v>50</v>
      </c>
      <c r="W1036">
        <v>50</v>
      </c>
      <c r="X1036">
        <v>2023</v>
      </c>
    </row>
    <row r="1037" spans="13:24" x14ac:dyDescent="0.35">
      <c r="M1037">
        <v>917</v>
      </c>
      <c r="N1037">
        <v>44991</v>
      </c>
      <c r="O1037" t="str">
        <v>March</v>
      </c>
      <c r="P1037" t="str">
        <v>CUST917</v>
      </c>
      <c r="Q1037" t="str">
        <v>Female</v>
      </c>
      <c r="R1037">
        <v>57</v>
      </c>
      <c r="S1037" t="str">
        <v>Electronics</v>
      </c>
      <c r="T1037">
        <v>4</v>
      </c>
      <c r="U1037">
        <v>50</v>
      </c>
      <c r="V1037">
        <v>200</v>
      </c>
      <c r="W1037">
        <v>200</v>
      </c>
      <c r="X1037">
        <v>2023</v>
      </c>
    </row>
    <row r="1038" spans="13:24" x14ac:dyDescent="0.35">
      <c r="M1038">
        <v>918</v>
      </c>
      <c r="N1038">
        <v>45253</v>
      </c>
      <c r="O1038" t="str">
        <v>November</v>
      </c>
      <c r="P1038" t="str">
        <v>CUST918</v>
      </c>
      <c r="Q1038" t="str">
        <v>Female</v>
      </c>
      <c r="R1038">
        <v>42</v>
      </c>
      <c r="S1038" t="str">
        <v>Electronics</v>
      </c>
      <c r="T1038">
        <v>3</v>
      </c>
      <c r="U1038">
        <v>30</v>
      </c>
      <c r="V1038">
        <v>90</v>
      </c>
      <c r="W1038">
        <v>90</v>
      </c>
      <c r="X1038">
        <v>2023</v>
      </c>
    </row>
    <row r="1039" spans="13:24" x14ac:dyDescent="0.35">
      <c r="M1039">
        <v>919</v>
      </c>
      <c r="N1039">
        <v>45178</v>
      </c>
      <c r="O1039" t="str">
        <v>September</v>
      </c>
      <c r="P1039" t="str">
        <v>CUST919</v>
      </c>
      <c r="Q1039" t="str">
        <v>Female</v>
      </c>
      <c r="R1039">
        <v>22</v>
      </c>
      <c r="S1039" t="str">
        <v>Beauty</v>
      </c>
      <c r="T1039">
        <v>2</v>
      </c>
      <c r="U1039">
        <v>25</v>
      </c>
      <c r="V1039">
        <v>50</v>
      </c>
      <c r="W1039">
        <v>50</v>
      </c>
      <c r="X1039">
        <v>2023</v>
      </c>
    </row>
    <row r="1040" spans="13:24" x14ac:dyDescent="0.35">
      <c r="M1040">
        <v>920</v>
      </c>
      <c r="N1040">
        <v>44979</v>
      </c>
      <c r="O1040" t="str">
        <v>February</v>
      </c>
      <c r="P1040" t="str">
        <v>CUST920</v>
      </c>
      <c r="Q1040" t="str">
        <v>Female</v>
      </c>
      <c r="R1040">
        <v>28</v>
      </c>
      <c r="S1040" t="str">
        <v>Beauty</v>
      </c>
      <c r="T1040">
        <v>3</v>
      </c>
      <c r="U1040">
        <v>25</v>
      </c>
      <c r="V1040">
        <v>75</v>
      </c>
      <c r="W1040">
        <v>75</v>
      </c>
      <c r="X1040">
        <v>2023</v>
      </c>
    </row>
    <row r="1041" spans="13:24" x14ac:dyDescent="0.35">
      <c r="M1041">
        <v>921</v>
      </c>
      <c r="N1041">
        <v>44933</v>
      </c>
      <c r="O1041" t="str">
        <v>January</v>
      </c>
      <c r="P1041" t="str">
        <v>CUST921</v>
      </c>
      <c r="Q1041" t="str">
        <v>Male</v>
      </c>
      <c r="R1041">
        <v>51</v>
      </c>
      <c r="S1041" t="str">
        <v>Electronics</v>
      </c>
      <c r="T1041">
        <v>3</v>
      </c>
      <c r="U1041">
        <v>25</v>
      </c>
      <c r="V1041">
        <v>75</v>
      </c>
      <c r="W1041">
        <v>75</v>
      </c>
      <c r="X1041">
        <v>2023</v>
      </c>
    </row>
    <row r="1042" spans="13:24" x14ac:dyDescent="0.35">
      <c r="M1042">
        <v>922</v>
      </c>
      <c r="N1042">
        <v>45220</v>
      </c>
      <c r="O1042" t="str">
        <v>October</v>
      </c>
      <c r="P1042" t="str">
        <v>CUST922</v>
      </c>
      <c r="Q1042" t="str">
        <v>Male</v>
      </c>
      <c r="R1042">
        <v>41</v>
      </c>
      <c r="S1042" t="str">
        <v>Electronics</v>
      </c>
      <c r="T1042">
        <v>1</v>
      </c>
      <c r="U1042">
        <v>50</v>
      </c>
      <c r="V1042">
        <v>50</v>
      </c>
      <c r="W1042">
        <v>50</v>
      </c>
      <c r="X1042">
        <v>2023</v>
      </c>
    </row>
    <row r="1043" spans="13:24" x14ac:dyDescent="0.35">
      <c r="M1043">
        <v>923</v>
      </c>
      <c r="N1043">
        <v>45072</v>
      </c>
      <c r="O1043" t="str">
        <v>May</v>
      </c>
      <c r="P1043" t="str">
        <v>CUST923</v>
      </c>
      <c r="Q1043" t="str">
        <v>Male</v>
      </c>
      <c r="R1043">
        <v>32</v>
      </c>
      <c r="S1043" t="str">
        <v>Beauty</v>
      </c>
      <c r="T1043">
        <v>3</v>
      </c>
      <c r="U1043">
        <v>300</v>
      </c>
      <c r="V1043">
        <v>900</v>
      </c>
      <c r="W1043">
        <v>900</v>
      </c>
      <c r="X1043">
        <v>2023</v>
      </c>
    </row>
    <row r="1044" spans="13:24" x14ac:dyDescent="0.35">
      <c r="M1044">
        <v>924</v>
      </c>
      <c r="N1044">
        <v>45167</v>
      </c>
      <c r="O1044" t="str">
        <v>August</v>
      </c>
      <c r="P1044" t="str">
        <v>CUST924</v>
      </c>
      <c r="Q1044" t="str">
        <v>Male</v>
      </c>
      <c r="R1044">
        <v>55</v>
      </c>
      <c r="S1044" t="str">
        <v>Beauty</v>
      </c>
      <c r="T1044">
        <v>2</v>
      </c>
      <c r="U1044">
        <v>50</v>
      </c>
      <c r="V1044">
        <v>100</v>
      </c>
      <c r="W1044">
        <v>100</v>
      </c>
      <c r="X1044">
        <v>2023</v>
      </c>
    </row>
    <row r="1045" spans="13:24" x14ac:dyDescent="0.35">
      <c r="M1045">
        <v>925</v>
      </c>
      <c r="N1045">
        <v>45172</v>
      </c>
      <c r="O1045" t="str">
        <v>September</v>
      </c>
      <c r="P1045" t="str">
        <v>CUST925</v>
      </c>
      <c r="Q1045" t="str">
        <v>Male</v>
      </c>
      <c r="R1045">
        <v>25</v>
      </c>
      <c r="S1045" t="str">
        <v>Electronics</v>
      </c>
      <c r="T1045">
        <v>1</v>
      </c>
      <c r="U1045">
        <v>300</v>
      </c>
      <c r="V1045">
        <v>300</v>
      </c>
      <c r="W1045">
        <v>300</v>
      </c>
      <c r="X1045">
        <v>2023</v>
      </c>
    </row>
    <row r="1046" spans="13:24" x14ac:dyDescent="0.35">
      <c r="M1046">
        <v>926</v>
      </c>
      <c r="N1046">
        <v>45152</v>
      </c>
      <c r="O1046" t="str">
        <v>August</v>
      </c>
      <c r="P1046" t="str">
        <v>CUST926</v>
      </c>
      <c r="Q1046" t="str">
        <v>Male</v>
      </c>
      <c r="R1046">
        <v>22</v>
      </c>
      <c r="S1046" t="str">
        <v>Electronics</v>
      </c>
      <c r="T1046">
        <v>1</v>
      </c>
      <c r="U1046">
        <v>30</v>
      </c>
      <c r="V1046">
        <v>30</v>
      </c>
      <c r="W1046">
        <v>30</v>
      </c>
      <c r="X1046">
        <v>2023</v>
      </c>
    </row>
    <row r="1047" spans="13:24" x14ac:dyDescent="0.35">
      <c r="M1047">
        <v>927</v>
      </c>
      <c r="N1047">
        <v>45101</v>
      </c>
      <c r="O1047" t="str">
        <v>June</v>
      </c>
      <c r="P1047" t="str">
        <v>CUST927</v>
      </c>
      <c r="Q1047" t="str">
        <v>Male</v>
      </c>
      <c r="R1047">
        <v>43</v>
      </c>
      <c r="S1047" t="str">
        <v>Electronics</v>
      </c>
      <c r="T1047">
        <v>4</v>
      </c>
      <c r="U1047">
        <v>500</v>
      </c>
      <c r="V1047">
        <v>2000</v>
      </c>
      <c r="W1047">
        <v>2000</v>
      </c>
      <c r="X1047">
        <v>2023</v>
      </c>
    </row>
    <row r="1048" spans="13:24" x14ac:dyDescent="0.35">
      <c r="M1048">
        <v>928</v>
      </c>
      <c r="N1048">
        <v>45021</v>
      </c>
      <c r="O1048" t="str">
        <v>April</v>
      </c>
      <c r="P1048" t="str">
        <v>CUST928</v>
      </c>
      <c r="Q1048" t="str">
        <v>Female</v>
      </c>
      <c r="R1048">
        <v>35</v>
      </c>
      <c r="S1048" t="str">
        <v>Clothing</v>
      </c>
      <c r="T1048">
        <v>4</v>
      </c>
      <c r="U1048">
        <v>300</v>
      </c>
      <c r="V1048">
        <v>1200</v>
      </c>
      <c r="W1048">
        <v>1200</v>
      </c>
      <c r="X1048">
        <v>2023</v>
      </c>
    </row>
    <row r="1049" spans="13:24" x14ac:dyDescent="0.35">
      <c r="M1049">
        <v>929</v>
      </c>
      <c r="N1049">
        <v>44953</v>
      </c>
      <c r="O1049" t="str">
        <v>January</v>
      </c>
      <c r="P1049" t="str">
        <v>CUST929</v>
      </c>
      <c r="Q1049" t="str">
        <v>Female</v>
      </c>
      <c r="R1049">
        <v>23</v>
      </c>
      <c r="S1049" t="str">
        <v>Beauty</v>
      </c>
      <c r="T1049">
        <v>3</v>
      </c>
      <c r="U1049">
        <v>25</v>
      </c>
      <c r="V1049">
        <v>75</v>
      </c>
      <c r="W1049">
        <v>75</v>
      </c>
      <c r="X1049">
        <v>2023</v>
      </c>
    </row>
    <row r="1050" spans="13:24" x14ac:dyDescent="0.35">
      <c r="M1050">
        <v>930</v>
      </c>
      <c r="N1050">
        <v>45056</v>
      </c>
      <c r="O1050" t="str">
        <v>May</v>
      </c>
      <c r="P1050" t="str">
        <v>CUST930</v>
      </c>
      <c r="Q1050" t="str">
        <v>Male</v>
      </c>
      <c r="R1050">
        <v>54</v>
      </c>
      <c r="S1050" t="str">
        <v>Clothing</v>
      </c>
      <c r="T1050">
        <v>4</v>
      </c>
      <c r="U1050">
        <v>50</v>
      </c>
      <c r="V1050">
        <v>200</v>
      </c>
      <c r="W1050">
        <v>200</v>
      </c>
      <c r="X1050">
        <v>2023</v>
      </c>
    </row>
    <row r="1051" spans="13:24" x14ac:dyDescent="0.35">
      <c r="M1051">
        <v>931</v>
      </c>
      <c r="N1051">
        <v>45171</v>
      </c>
      <c r="O1051" t="str">
        <v>September</v>
      </c>
      <c r="P1051" t="str">
        <v>CUST931</v>
      </c>
      <c r="Q1051" t="str">
        <v>Male</v>
      </c>
      <c r="R1051">
        <v>30</v>
      </c>
      <c r="S1051" t="str">
        <v>Beauty</v>
      </c>
      <c r="T1051">
        <v>4</v>
      </c>
      <c r="U1051">
        <v>30</v>
      </c>
      <c r="V1051">
        <v>120</v>
      </c>
      <c r="W1051">
        <v>120</v>
      </c>
      <c r="X1051">
        <v>2023</v>
      </c>
    </row>
    <row r="1052" spans="13:24" x14ac:dyDescent="0.35">
      <c r="M1052">
        <v>932</v>
      </c>
      <c r="N1052">
        <v>44985</v>
      </c>
      <c r="O1052" t="str">
        <v>February</v>
      </c>
      <c r="P1052" t="str">
        <v>CUST932</v>
      </c>
      <c r="Q1052" t="str">
        <v>Female</v>
      </c>
      <c r="R1052">
        <v>45</v>
      </c>
      <c r="S1052" t="str">
        <v>Beauty</v>
      </c>
      <c r="T1052">
        <v>4</v>
      </c>
      <c r="U1052">
        <v>25</v>
      </c>
      <c r="V1052">
        <v>100</v>
      </c>
      <c r="W1052">
        <v>100</v>
      </c>
      <c r="X1052">
        <v>2023</v>
      </c>
    </row>
    <row r="1053" spans="13:24" x14ac:dyDescent="0.35">
      <c r="M1053">
        <v>933</v>
      </c>
      <c r="N1053">
        <v>44960</v>
      </c>
      <c r="O1053" t="str">
        <v>February</v>
      </c>
      <c r="P1053" t="str">
        <v>CUST933</v>
      </c>
      <c r="Q1053" t="str">
        <v>Male</v>
      </c>
      <c r="R1053">
        <v>22</v>
      </c>
      <c r="S1053" t="str">
        <v>Beauty</v>
      </c>
      <c r="T1053">
        <v>1</v>
      </c>
      <c r="U1053">
        <v>30</v>
      </c>
      <c r="V1053">
        <v>30</v>
      </c>
      <c r="W1053">
        <v>30</v>
      </c>
      <c r="X1053">
        <v>2023</v>
      </c>
    </row>
    <row r="1054" spans="13:24" x14ac:dyDescent="0.35">
      <c r="M1054">
        <v>934</v>
      </c>
      <c r="N1054">
        <v>45132</v>
      </c>
      <c r="O1054" t="str">
        <v>July</v>
      </c>
      <c r="P1054" t="str">
        <v>CUST934</v>
      </c>
      <c r="Q1054" t="str">
        <v>Male</v>
      </c>
      <c r="R1054">
        <v>30</v>
      </c>
      <c r="S1054" t="str">
        <v>Beauty</v>
      </c>
      <c r="T1054">
        <v>1</v>
      </c>
      <c r="U1054">
        <v>500</v>
      </c>
      <c r="V1054">
        <v>500</v>
      </c>
      <c r="W1054">
        <v>500</v>
      </c>
      <c r="X1054">
        <v>2023</v>
      </c>
    </row>
    <row r="1055" spans="13:24" x14ac:dyDescent="0.35">
      <c r="M1055">
        <v>935</v>
      </c>
      <c r="N1055">
        <v>45178</v>
      </c>
      <c r="O1055" t="str">
        <v>September</v>
      </c>
      <c r="P1055" t="str">
        <v>CUST935</v>
      </c>
      <c r="Q1055" t="str">
        <v>Female</v>
      </c>
      <c r="R1055">
        <v>34</v>
      </c>
      <c r="S1055" t="str">
        <v>Beauty</v>
      </c>
      <c r="T1055">
        <v>1</v>
      </c>
      <c r="U1055">
        <v>50</v>
      </c>
      <c r="V1055">
        <v>50</v>
      </c>
      <c r="W1055">
        <v>50</v>
      </c>
      <c r="X1055">
        <v>2023</v>
      </c>
    </row>
    <row r="1056" spans="13:24" x14ac:dyDescent="0.35">
      <c r="M1056">
        <v>936</v>
      </c>
      <c r="N1056">
        <v>44964</v>
      </c>
      <c r="O1056" t="str">
        <v>February</v>
      </c>
      <c r="P1056" t="str">
        <v>CUST936</v>
      </c>
      <c r="Q1056" t="str">
        <v>Male</v>
      </c>
      <c r="R1056">
        <v>57</v>
      </c>
      <c r="S1056" t="str">
        <v>Beauty</v>
      </c>
      <c r="T1056">
        <v>4</v>
      </c>
      <c r="U1056">
        <v>50</v>
      </c>
      <c r="V1056">
        <v>200</v>
      </c>
      <c r="W1056">
        <v>200</v>
      </c>
      <c r="X1056">
        <v>2023</v>
      </c>
    </row>
    <row r="1057" spans="13:24" x14ac:dyDescent="0.35">
      <c r="M1057">
        <v>937</v>
      </c>
      <c r="N1057">
        <v>45222</v>
      </c>
      <c r="O1057" t="str">
        <v>October</v>
      </c>
      <c r="P1057" t="str">
        <v>CUST937</v>
      </c>
      <c r="Q1057" t="str">
        <v>Female</v>
      </c>
      <c r="R1057">
        <v>62</v>
      </c>
      <c r="S1057" t="str">
        <v>Beauty</v>
      </c>
      <c r="T1057">
        <v>1</v>
      </c>
      <c r="U1057">
        <v>500</v>
      </c>
      <c r="V1057">
        <v>500</v>
      </c>
      <c r="W1057">
        <v>500</v>
      </c>
      <c r="X1057">
        <v>2023</v>
      </c>
    </row>
    <row r="1058" spans="13:24" x14ac:dyDescent="0.35">
      <c r="M1058">
        <v>938</v>
      </c>
      <c r="N1058">
        <v>45249</v>
      </c>
      <c r="O1058" t="str">
        <v>November</v>
      </c>
      <c r="P1058" t="str">
        <v>CUST938</v>
      </c>
      <c r="Q1058" t="str">
        <v>Male</v>
      </c>
      <c r="R1058">
        <v>49</v>
      </c>
      <c r="S1058" t="str">
        <v>Clothing</v>
      </c>
      <c r="T1058">
        <v>4</v>
      </c>
      <c r="U1058">
        <v>50</v>
      </c>
      <c r="V1058">
        <v>200</v>
      </c>
      <c r="W1058">
        <v>200</v>
      </c>
      <c r="X1058">
        <v>2023</v>
      </c>
    </row>
    <row r="1059" spans="13:24" x14ac:dyDescent="0.35">
      <c r="M1059">
        <v>939</v>
      </c>
      <c r="N1059">
        <v>45278</v>
      </c>
      <c r="O1059" t="str">
        <v>December</v>
      </c>
      <c r="P1059" t="str">
        <v>CUST939</v>
      </c>
      <c r="Q1059" t="str">
        <v>Female</v>
      </c>
      <c r="R1059">
        <v>46</v>
      </c>
      <c r="S1059" t="str">
        <v>Electronics</v>
      </c>
      <c r="T1059">
        <v>1</v>
      </c>
      <c r="U1059">
        <v>300</v>
      </c>
      <c r="V1059">
        <v>300</v>
      </c>
      <c r="W1059">
        <v>300</v>
      </c>
      <c r="X1059">
        <v>2023</v>
      </c>
    </row>
    <row r="1060" spans="13:24" x14ac:dyDescent="0.35">
      <c r="M1060">
        <v>940</v>
      </c>
      <c r="N1060">
        <v>44954</v>
      </c>
      <c r="O1060" t="str">
        <v>January</v>
      </c>
      <c r="P1060" t="str">
        <v>CUST940</v>
      </c>
      <c r="Q1060" t="str">
        <v>Female</v>
      </c>
      <c r="R1060">
        <v>20</v>
      </c>
      <c r="S1060" t="str">
        <v>Electronics</v>
      </c>
      <c r="T1060">
        <v>1</v>
      </c>
      <c r="U1060">
        <v>30</v>
      </c>
      <c r="V1060">
        <v>30</v>
      </c>
      <c r="W1060">
        <v>30</v>
      </c>
      <c r="X1060">
        <v>2023</v>
      </c>
    </row>
    <row r="1061" spans="13:24" x14ac:dyDescent="0.35">
      <c r="M1061">
        <v>941</v>
      </c>
      <c r="N1061">
        <v>45004</v>
      </c>
      <c r="O1061" t="str">
        <v>March</v>
      </c>
      <c r="P1061" t="str">
        <v>CUST941</v>
      </c>
      <c r="Q1061" t="str">
        <v>Female</v>
      </c>
      <c r="R1061">
        <v>57</v>
      </c>
      <c r="S1061" t="str">
        <v>Clothing</v>
      </c>
      <c r="T1061">
        <v>2</v>
      </c>
      <c r="U1061">
        <v>25</v>
      </c>
      <c r="V1061">
        <v>50</v>
      </c>
      <c r="W1061">
        <v>50</v>
      </c>
      <c r="X1061">
        <v>2023</v>
      </c>
    </row>
    <row r="1062" spans="13:24" x14ac:dyDescent="0.35">
      <c r="M1062">
        <v>942</v>
      </c>
      <c r="N1062">
        <v>45003</v>
      </c>
      <c r="O1062" t="str">
        <v>March</v>
      </c>
      <c r="P1062" t="str">
        <v>CUST942</v>
      </c>
      <c r="Q1062" t="str">
        <v>Male</v>
      </c>
      <c r="R1062">
        <v>51</v>
      </c>
      <c r="S1062" t="str">
        <v>Clothing</v>
      </c>
      <c r="T1062">
        <v>3</v>
      </c>
      <c r="U1062">
        <v>500</v>
      </c>
      <c r="V1062">
        <v>1500</v>
      </c>
      <c r="W1062">
        <v>1500</v>
      </c>
      <c r="X1062">
        <v>2023</v>
      </c>
    </row>
    <row r="1063" spans="13:24" x14ac:dyDescent="0.35">
      <c r="M1063">
        <v>943</v>
      </c>
      <c r="N1063">
        <v>45215</v>
      </c>
      <c r="O1063" t="str">
        <v>October</v>
      </c>
      <c r="P1063" t="str">
        <v>CUST943</v>
      </c>
      <c r="Q1063" t="str">
        <v>Female</v>
      </c>
      <c r="R1063">
        <v>57</v>
      </c>
      <c r="S1063" t="str">
        <v>Clothing</v>
      </c>
      <c r="T1063">
        <v>4</v>
      </c>
      <c r="U1063">
        <v>300</v>
      </c>
      <c r="V1063">
        <v>1200</v>
      </c>
      <c r="W1063">
        <v>1200</v>
      </c>
      <c r="X1063">
        <v>2023</v>
      </c>
    </row>
    <row r="1064" spans="13:24" x14ac:dyDescent="0.35">
      <c r="M1064">
        <v>944</v>
      </c>
      <c r="N1064">
        <v>45082</v>
      </c>
      <c r="O1064" t="str">
        <v>June</v>
      </c>
      <c r="P1064" t="str">
        <v>CUST944</v>
      </c>
      <c r="Q1064" t="str">
        <v>Male</v>
      </c>
      <c r="R1064">
        <v>44</v>
      </c>
      <c r="S1064" t="str">
        <v>Clothing</v>
      </c>
      <c r="T1064">
        <v>2</v>
      </c>
      <c r="U1064">
        <v>25</v>
      </c>
      <c r="V1064">
        <v>50</v>
      </c>
      <c r="W1064">
        <v>50</v>
      </c>
      <c r="X1064">
        <v>2023</v>
      </c>
    </row>
    <row r="1065" spans="13:24" x14ac:dyDescent="0.35">
      <c r="M1065">
        <v>945</v>
      </c>
      <c r="N1065">
        <v>44970</v>
      </c>
      <c r="O1065" t="str">
        <v>February</v>
      </c>
      <c r="P1065" t="str">
        <v>CUST945</v>
      </c>
      <c r="Q1065" t="str">
        <v>Male</v>
      </c>
      <c r="R1065">
        <v>30</v>
      </c>
      <c r="S1065" t="str">
        <v>Beauty</v>
      </c>
      <c r="T1065">
        <v>1</v>
      </c>
      <c r="U1065">
        <v>25</v>
      </c>
      <c r="V1065">
        <v>25</v>
      </c>
      <c r="W1065">
        <v>25</v>
      </c>
      <c r="X1065">
        <v>2023</v>
      </c>
    </row>
    <row r="1066" spans="13:24" x14ac:dyDescent="0.35">
      <c r="M1066">
        <v>946</v>
      </c>
      <c r="N1066">
        <v>45054</v>
      </c>
      <c r="O1066" t="str">
        <v>May</v>
      </c>
      <c r="P1066" t="str">
        <v>CUST946</v>
      </c>
      <c r="Q1066" t="str">
        <v>Male</v>
      </c>
      <c r="R1066">
        <v>62</v>
      </c>
      <c r="S1066" t="str">
        <v>Electronics</v>
      </c>
      <c r="T1066">
        <v>4</v>
      </c>
      <c r="U1066">
        <v>500</v>
      </c>
      <c r="V1066">
        <v>2000</v>
      </c>
      <c r="W1066">
        <v>2000</v>
      </c>
      <c r="X1066">
        <v>2023</v>
      </c>
    </row>
    <row r="1067" spans="13:24" x14ac:dyDescent="0.35">
      <c r="M1067">
        <v>947</v>
      </c>
      <c r="N1067">
        <v>44987</v>
      </c>
      <c r="O1067" t="str">
        <v>March</v>
      </c>
      <c r="P1067" t="str">
        <v>CUST947</v>
      </c>
      <c r="Q1067" t="str">
        <v>Male</v>
      </c>
      <c r="R1067">
        <v>50</v>
      </c>
      <c r="S1067" t="str">
        <v>Beauty</v>
      </c>
      <c r="T1067">
        <v>1</v>
      </c>
      <c r="U1067">
        <v>300</v>
      </c>
      <c r="V1067">
        <v>300</v>
      </c>
      <c r="W1067">
        <v>300</v>
      </c>
      <c r="X1067">
        <v>2023</v>
      </c>
    </row>
    <row r="1068" spans="13:24" x14ac:dyDescent="0.35">
      <c r="M1068">
        <v>948</v>
      </c>
      <c r="N1068">
        <v>45212</v>
      </c>
      <c r="O1068" t="str">
        <v>October</v>
      </c>
      <c r="P1068" t="str">
        <v>CUST948</v>
      </c>
      <c r="Q1068" t="str">
        <v>Female</v>
      </c>
      <c r="R1068">
        <v>23</v>
      </c>
      <c r="S1068" t="str">
        <v>Electronics</v>
      </c>
      <c r="T1068">
        <v>3</v>
      </c>
      <c r="U1068">
        <v>25</v>
      </c>
      <c r="V1068">
        <v>75</v>
      </c>
      <c r="W1068">
        <v>75</v>
      </c>
      <c r="X1068">
        <v>2023</v>
      </c>
    </row>
    <row r="1069" spans="13:24" x14ac:dyDescent="0.35">
      <c r="M1069">
        <v>949</v>
      </c>
      <c r="N1069">
        <v>45140</v>
      </c>
      <c r="O1069" t="str">
        <v>August</v>
      </c>
      <c r="P1069" t="str">
        <v>CUST949</v>
      </c>
      <c r="Q1069" t="str">
        <v>Female</v>
      </c>
      <c r="R1069">
        <v>41</v>
      </c>
      <c r="S1069" t="str">
        <v>Electronics</v>
      </c>
      <c r="T1069">
        <v>2</v>
      </c>
      <c r="U1069">
        <v>25</v>
      </c>
      <c r="V1069">
        <v>50</v>
      </c>
      <c r="W1069">
        <v>50</v>
      </c>
      <c r="X1069">
        <v>2023</v>
      </c>
    </row>
    <row r="1070" spans="13:24" x14ac:dyDescent="0.35">
      <c r="M1070">
        <v>950</v>
      </c>
      <c r="N1070">
        <v>45237</v>
      </c>
      <c r="O1070" t="str">
        <v>November</v>
      </c>
      <c r="P1070" t="str">
        <v>CUST950</v>
      </c>
      <c r="Q1070" t="str">
        <v>Male</v>
      </c>
      <c r="R1070">
        <v>36</v>
      </c>
      <c r="S1070" t="str">
        <v>Clothing</v>
      </c>
      <c r="T1070">
        <v>3</v>
      </c>
      <c r="U1070">
        <v>300</v>
      </c>
      <c r="V1070">
        <v>900</v>
      </c>
      <c r="W1070">
        <v>900</v>
      </c>
      <c r="X1070">
        <v>2023</v>
      </c>
    </row>
    <row r="1071" spans="13:24" x14ac:dyDescent="0.35">
      <c r="M1071">
        <v>951</v>
      </c>
      <c r="N1071">
        <v>45232</v>
      </c>
      <c r="O1071" t="str">
        <v>November</v>
      </c>
      <c r="P1071" t="str">
        <v>CUST951</v>
      </c>
      <c r="Q1071" t="str">
        <v>Male</v>
      </c>
      <c r="R1071">
        <v>33</v>
      </c>
      <c r="S1071" t="str">
        <v>Beauty</v>
      </c>
      <c r="T1071">
        <v>2</v>
      </c>
      <c r="U1071">
        <v>50</v>
      </c>
      <c r="V1071">
        <v>100</v>
      </c>
      <c r="W1071">
        <v>100</v>
      </c>
      <c r="X1071">
        <v>2023</v>
      </c>
    </row>
    <row r="1072" spans="13:24" x14ac:dyDescent="0.35">
      <c r="M1072">
        <v>952</v>
      </c>
      <c r="N1072">
        <v>45243</v>
      </c>
      <c r="O1072" t="str">
        <v>November</v>
      </c>
      <c r="P1072" t="str">
        <v>CUST952</v>
      </c>
      <c r="Q1072" t="str">
        <v>Female</v>
      </c>
      <c r="R1072">
        <v>57</v>
      </c>
      <c r="S1072" t="str">
        <v>Clothing</v>
      </c>
      <c r="T1072">
        <v>1</v>
      </c>
      <c r="U1072">
        <v>25</v>
      </c>
      <c r="V1072">
        <v>25</v>
      </c>
      <c r="W1072">
        <v>25</v>
      </c>
      <c r="X1072">
        <v>2023</v>
      </c>
    </row>
    <row r="1073" spans="13:24" x14ac:dyDescent="0.35">
      <c r="M1073">
        <v>953</v>
      </c>
      <c r="N1073">
        <v>45042</v>
      </c>
      <c r="O1073" t="str">
        <v>April</v>
      </c>
      <c r="P1073" t="str">
        <v>CUST953</v>
      </c>
      <c r="Q1073" t="str">
        <v>Male</v>
      </c>
      <c r="R1073">
        <v>45</v>
      </c>
      <c r="S1073" t="str">
        <v>Beauty</v>
      </c>
      <c r="T1073">
        <v>3</v>
      </c>
      <c r="U1073">
        <v>30</v>
      </c>
      <c r="V1073">
        <v>90</v>
      </c>
      <c r="W1073">
        <v>90</v>
      </c>
      <c r="X1073">
        <v>2023</v>
      </c>
    </row>
    <row r="1074" spans="13:24" x14ac:dyDescent="0.35">
      <c r="M1074">
        <v>954</v>
      </c>
      <c r="N1074">
        <v>45194</v>
      </c>
      <c r="O1074" t="str">
        <v>September</v>
      </c>
      <c r="P1074" t="str">
        <v>CUST954</v>
      </c>
      <c r="Q1074" t="str">
        <v>Female</v>
      </c>
      <c r="R1074">
        <v>50</v>
      </c>
      <c r="S1074" t="str">
        <v>Electronics</v>
      </c>
      <c r="T1074">
        <v>3</v>
      </c>
      <c r="U1074">
        <v>300</v>
      </c>
      <c r="V1074">
        <v>900</v>
      </c>
      <c r="W1074">
        <v>900</v>
      </c>
      <c r="X1074">
        <v>2023</v>
      </c>
    </row>
    <row r="1075" spans="13:24" x14ac:dyDescent="0.35">
      <c r="M1075">
        <v>955</v>
      </c>
      <c r="N1075">
        <v>45121</v>
      </c>
      <c r="O1075" t="str">
        <v>July</v>
      </c>
      <c r="P1075" t="str">
        <v>CUST955</v>
      </c>
      <c r="Q1075" t="str">
        <v>Male</v>
      </c>
      <c r="R1075">
        <v>58</v>
      </c>
      <c r="S1075" t="str">
        <v>Clothing</v>
      </c>
      <c r="T1075">
        <v>1</v>
      </c>
      <c r="U1075">
        <v>25</v>
      </c>
      <c r="V1075">
        <v>25</v>
      </c>
      <c r="W1075">
        <v>25</v>
      </c>
      <c r="X1075">
        <v>2023</v>
      </c>
    </row>
    <row r="1076" spans="13:24" x14ac:dyDescent="0.35">
      <c r="M1076">
        <v>956</v>
      </c>
      <c r="N1076">
        <v>45157</v>
      </c>
      <c r="O1076" t="str">
        <v>August</v>
      </c>
      <c r="P1076" t="str">
        <v>CUST956</v>
      </c>
      <c r="Q1076" t="str">
        <v>Male</v>
      </c>
      <c r="R1076">
        <v>30</v>
      </c>
      <c r="S1076" t="str">
        <v>Clothing</v>
      </c>
      <c r="T1076">
        <v>3</v>
      </c>
      <c r="U1076">
        <v>500</v>
      </c>
      <c r="V1076">
        <v>1500</v>
      </c>
      <c r="W1076">
        <v>1500</v>
      </c>
      <c r="X1076">
        <v>2023</v>
      </c>
    </row>
    <row r="1077" spans="13:24" x14ac:dyDescent="0.35">
      <c r="M1077">
        <v>957</v>
      </c>
      <c r="N1077">
        <v>45153</v>
      </c>
      <c r="O1077" t="str">
        <v>August</v>
      </c>
      <c r="P1077" t="str">
        <v>CUST957</v>
      </c>
      <c r="Q1077" t="str">
        <v>Female</v>
      </c>
      <c r="R1077">
        <v>60</v>
      </c>
      <c r="S1077" t="str">
        <v>Electronics</v>
      </c>
      <c r="T1077">
        <v>4</v>
      </c>
      <c r="U1077">
        <v>30</v>
      </c>
      <c r="V1077">
        <v>120</v>
      </c>
      <c r="W1077">
        <v>120</v>
      </c>
      <c r="X1077">
        <v>2023</v>
      </c>
    </row>
    <row r="1078" spans="13:24" x14ac:dyDescent="0.35">
      <c r="M1078">
        <v>958</v>
      </c>
      <c r="N1078">
        <v>45079</v>
      </c>
      <c r="O1078" t="str">
        <v>June</v>
      </c>
      <c r="P1078" t="str">
        <v>CUST958</v>
      </c>
      <c r="Q1078" t="str">
        <v>Male</v>
      </c>
      <c r="R1078">
        <v>62</v>
      </c>
      <c r="S1078" t="str">
        <v>Electronics</v>
      </c>
      <c r="T1078">
        <v>2</v>
      </c>
      <c r="U1078">
        <v>25</v>
      </c>
      <c r="V1078">
        <v>50</v>
      </c>
      <c r="W1078">
        <v>50</v>
      </c>
      <c r="X1078">
        <v>2023</v>
      </c>
    </row>
    <row r="1079" spans="13:24" x14ac:dyDescent="0.35">
      <c r="M1079">
        <v>959</v>
      </c>
      <c r="N1079">
        <v>45228</v>
      </c>
      <c r="O1079" t="str">
        <v>October</v>
      </c>
      <c r="P1079" t="str">
        <v>CUST959</v>
      </c>
      <c r="Q1079" t="str">
        <v>Female</v>
      </c>
      <c r="R1079">
        <v>42</v>
      </c>
      <c r="S1079" t="str">
        <v>Electronics</v>
      </c>
      <c r="T1079">
        <v>2</v>
      </c>
      <c r="U1079">
        <v>30</v>
      </c>
      <c r="V1079">
        <v>60</v>
      </c>
      <c r="W1079">
        <v>60</v>
      </c>
      <c r="X1079">
        <v>2023</v>
      </c>
    </row>
    <row r="1080" spans="13:24" x14ac:dyDescent="0.35">
      <c r="M1080">
        <v>960</v>
      </c>
      <c r="N1080">
        <v>45146</v>
      </c>
      <c r="O1080" t="str">
        <v>August</v>
      </c>
      <c r="P1080" t="str">
        <v>CUST960</v>
      </c>
      <c r="Q1080" t="str">
        <v>Male</v>
      </c>
      <c r="R1080">
        <v>59</v>
      </c>
      <c r="S1080" t="str">
        <v>Clothing</v>
      </c>
      <c r="T1080">
        <v>2</v>
      </c>
      <c r="U1080">
        <v>30</v>
      </c>
      <c r="V1080">
        <v>60</v>
      </c>
      <c r="W1080">
        <v>60</v>
      </c>
      <c r="X1080">
        <v>2023</v>
      </c>
    </row>
    <row r="1081" spans="13:24" x14ac:dyDescent="0.35">
      <c r="M1081">
        <v>961</v>
      </c>
      <c r="N1081">
        <v>45083</v>
      </c>
      <c r="O1081" t="str">
        <v>June</v>
      </c>
      <c r="P1081" t="str">
        <v>CUST961</v>
      </c>
      <c r="Q1081" t="str">
        <v>Male</v>
      </c>
      <c r="R1081">
        <v>53</v>
      </c>
      <c r="S1081" t="str">
        <v>Beauty</v>
      </c>
      <c r="T1081">
        <v>4</v>
      </c>
      <c r="U1081">
        <v>50</v>
      </c>
      <c r="V1081">
        <v>200</v>
      </c>
      <c r="W1081">
        <v>200</v>
      </c>
      <c r="X1081">
        <v>2023</v>
      </c>
    </row>
    <row r="1082" spans="13:24" x14ac:dyDescent="0.35">
      <c r="M1082">
        <v>962</v>
      </c>
      <c r="N1082">
        <v>45218</v>
      </c>
      <c r="O1082" t="str">
        <v>October</v>
      </c>
      <c r="P1082" t="str">
        <v>CUST962</v>
      </c>
      <c r="Q1082" t="str">
        <v>Male</v>
      </c>
      <c r="R1082">
        <v>44</v>
      </c>
      <c r="S1082" t="str">
        <v>Clothing</v>
      </c>
      <c r="T1082">
        <v>2</v>
      </c>
      <c r="U1082">
        <v>30</v>
      </c>
      <c r="V1082">
        <v>60</v>
      </c>
      <c r="W1082">
        <v>60</v>
      </c>
      <c r="X1082">
        <v>2023</v>
      </c>
    </row>
    <row r="1083" spans="13:24" x14ac:dyDescent="0.35">
      <c r="M1083">
        <v>963</v>
      </c>
      <c r="N1083">
        <v>45244</v>
      </c>
      <c r="O1083" t="str">
        <v>November</v>
      </c>
      <c r="P1083" t="str">
        <v>CUST963</v>
      </c>
      <c r="Q1083" t="str">
        <v>Female</v>
      </c>
      <c r="R1083">
        <v>55</v>
      </c>
      <c r="S1083" t="str">
        <v>Beauty</v>
      </c>
      <c r="T1083">
        <v>1</v>
      </c>
      <c r="U1083">
        <v>50</v>
      </c>
      <c r="V1083">
        <v>50</v>
      </c>
      <c r="W1083">
        <v>50</v>
      </c>
      <c r="X1083">
        <v>2023</v>
      </c>
    </row>
    <row r="1084" spans="13:24" x14ac:dyDescent="0.35">
      <c r="M1084">
        <v>964</v>
      </c>
      <c r="N1084">
        <v>44957</v>
      </c>
      <c r="O1084" t="str">
        <v>January</v>
      </c>
      <c r="P1084" t="str">
        <v>CUST964</v>
      </c>
      <c r="Q1084" t="str">
        <v>Male</v>
      </c>
      <c r="R1084">
        <v>24</v>
      </c>
      <c r="S1084" t="str">
        <v>Clothing</v>
      </c>
      <c r="T1084">
        <v>3</v>
      </c>
      <c r="U1084">
        <v>300</v>
      </c>
      <c r="V1084">
        <v>900</v>
      </c>
      <c r="W1084">
        <v>900</v>
      </c>
      <c r="X1084">
        <v>2023</v>
      </c>
    </row>
    <row r="1085" spans="13:24" x14ac:dyDescent="0.35">
      <c r="M1085">
        <v>965</v>
      </c>
      <c r="N1085">
        <v>45239</v>
      </c>
      <c r="O1085" t="str">
        <v>November</v>
      </c>
      <c r="P1085" t="str">
        <v>CUST965</v>
      </c>
      <c r="Q1085" t="str">
        <v>Male</v>
      </c>
      <c r="R1085">
        <v>22</v>
      </c>
      <c r="S1085" t="str">
        <v>Clothing</v>
      </c>
      <c r="T1085">
        <v>4</v>
      </c>
      <c r="U1085">
        <v>50</v>
      </c>
      <c r="V1085">
        <v>200</v>
      </c>
      <c r="W1085">
        <v>200</v>
      </c>
      <c r="X1085">
        <v>2023</v>
      </c>
    </row>
    <row r="1086" spans="13:24" x14ac:dyDescent="0.35">
      <c r="M1086">
        <v>966</v>
      </c>
      <c r="N1086">
        <v>44977</v>
      </c>
      <c r="O1086" t="str">
        <v>February</v>
      </c>
      <c r="P1086" t="str">
        <v>CUST966</v>
      </c>
      <c r="Q1086" t="str">
        <v>Male</v>
      </c>
      <c r="R1086">
        <v>60</v>
      </c>
      <c r="S1086" t="str">
        <v>Electronics</v>
      </c>
      <c r="T1086">
        <v>2</v>
      </c>
      <c r="U1086">
        <v>500</v>
      </c>
      <c r="V1086">
        <v>1000</v>
      </c>
      <c r="W1086">
        <v>1000</v>
      </c>
      <c r="X1086">
        <v>2023</v>
      </c>
    </row>
    <row r="1087" spans="13:24" x14ac:dyDescent="0.35">
      <c r="M1087">
        <v>967</v>
      </c>
      <c r="N1087">
        <v>45033</v>
      </c>
      <c r="O1087" t="str">
        <v>April</v>
      </c>
      <c r="P1087" t="str">
        <v>CUST967</v>
      </c>
      <c r="Q1087" t="str">
        <v>Male</v>
      </c>
      <c r="R1087">
        <v>62</v>
      </c>
      <c r="S1087" t="str">
        <v>Beauty</v>
      </c>
      <c r="T1087">
        <v>1</v>
      </c>
      <c r="U1087">
        <v>25</v>
      </c>
      <c r="V1087">
        <v>25</v>
      </c>
      <c r="W1087">
        <v>25</v>
      </c>
      <c r="X1087">
        <v>2023</v>
      </c>
    </row>
    <row r="1088" spans="13:24" x14ac:dyDescent="0.35">
      <c r="M1088">
        <v>968</v>
      </c>
      <c r="N1088">
        <v>45247</v>
      </c>
      <c r="O1088" t="str">
        <v>November</v>
      </c>
      <c r="P1088" t="str">
        <v>CUST968</v>
      </c>
      <c r="Q1088" t="str">
        <v>Female</v>
      </c>
      <c r="R1088">
        <v>48</v>
      </c>
      <c r="S1088" t="str">
        <v>Clothing</v>
      </c>
      <c r="T1088">
        <v>3</v>
      </c>
      <c r="U1088">
        <v>300</v>
      </c>
      <c r="V1088">
        <v>900</v>
      </c>
      <c r="W1088">
        <v>900</v>
      </c>
      <c r="X1088">
        <v>2023</v>
      </c>
    </row>
    <row r="1089" spans="13:24" x14ac:dyDescent="0.35">
      <c r="M1089">
        <v>969</v>
      </c>
      <c r="N1089">
        <v>45035</v>
      </c>
      <c r="O1089" t="str">
        <v>April</v>
      </c>
      <c r="P1089" t="str">
        <v>CUST969</v>
      </c>
      <c r="Q1089" t="str">
        <v>Female</v>
      </c>
      <c r="R1089">
        <v>40</v>
      </c>
      <c r="S1089" t="str">
        <v>Clothing</v>
      </c>
      <c r="T1089">
        <v>3</v>
      </c>
      <c r="U1089">
        <v>300</v>
      </c>
      <c r="V1089">
        <v>900</v>
      </c>
      <c r="W1089">
        <v>900</v>
      </c>
      <c r="X1089">
        <v>2023</v>
      </c>
    </row>
    <row r="1090" spans="13:24" x14ac:dyDescent="0.35">
      <c r="M1090">
        <v>970</v>
      </c>
      <c r="N1090">
        <v>45062</v>
      </c>
      <c r="O1090" t="str">
        <v>May</v>
      </c>
      <c r="P1090" t="str">
        <v>CUST970</v>
      </c>
      <c r="Q1090" t="str">
        <v>Male</v>
      </c>
      <c r="R1090">
        <v>59</v>
      </c>
      <c r="S1090" t="str">
        <v>Electronics</v>
      </c>
      <c r="T1090">
        <v>4</v>
      </c>
      <c r="U1090">
        <v>500</v>
      </c>
      <c r="V1090">
        <v>2000</v>
      </c>
      <c r="W1090">
        <v>2000</v>
      </c>
      <c r="X1090">
        <v>2023</v>
      </c>
    </row>
    <row r="1091" spans="13:24" x14ac:dyDescent="0.35">
      <c r="M1091">
        <v>971</v>
      </c>
      <c r="N1091">
        <v>45265</v>
      </c>
      <c r="O1091" t="str">
        <v>December</v>
      </c>
      <c r="P1091" t="str">
        <v>CUST971</v>
      </c>
      <c r="Q1091" t="str">
        <v>Female</v>
      </c>
      <c r="R1091">
        <v>27</v>
      </c>
      <c r="S1091" t="str">
        <v>Electronics</v>
      </c>
      <c r="T1091">
        <v>4</v>
      </c>
      <c r="U1091">
        <v>50</v>
      </c>
      <c r="V1091">
        <v>200</v>
      </c>
      <c r="W1091">
        <v>200</v>
      </c>
      <c r="X1091">
        <v>2023</v>
      </c>
    </row>
    <row r="1092" spans="13:24" x14ac:dyDescent="0.35">
      <c r="M1092">
        <v>972</v>
      </c>
      <c r="N1092">
        <v>44968</v>
      </c>
      <c r="O1092" t="str">
        <v>February</v>
      </c>
      <c r="P1092" t="str">
        <v>CUST972</v>
      </c>
      <c r="Q1092" t="str">
        <v>Male</v>
      </c>
      <c r="R1092">
        <v>49</v>
      </c>
      <c r="S1092" t="str">
        <v>Beauty</v>
      </c>
      <c r="T1092">
        <v>4</v>
      </c>
      <c r="U1092">
        <v>25</v>
      </c>
      <c r="V1092">
        <v>100</v>
      </c>
      <c r="W1092">
        <v>100</v>
      </c>
      <c r="X1092">
        <v>2023</v>
      </c>
    </row>
    <row r="1093" spans="13:24" x14ac:dyDescent="0.35">
      <c r="M1093">
        <v>973</v>
      </c>
      <c r="N1093">
        <v>45007</v>
      </c>
      <c r="O1093" t="str">
        <v>March</v>
      </c>
      <c r="P1093" t="str">
        <v>CUST973</v>
      </c>
      <c r="Q1093" t="str">
        <v>Male</v>
      </c>
      <c r="R1093">
        <v>60</v>
      </c>
      <c r="S1093" t="str">
        <v>Clothing</v>
      </c>
      <c r="T1093">
        <v>1</v>
      </c>
      <c r="U1093">
        <v>50</v>
      </c>
      <c r="V1093">
        <v>50</v>
      </c>
      <c r="W1093">
        <v>50</v>
      </c>
      <c r="X1093">
        <v>2023</v>
      </c>
    </row>
    <row r="1094" spans="13:24" x14ac:dyDescent="0.35">
      <c r="M1094">
        <v>974</v>
      </c>
      <c r="N1094">
        <v>45049</v>
      </c>
      <c r="O1094" t="str">
        <v>May</v>
      </c>
      <c r="P1094" t="str">
        <v>CUST974</v>
      </c>
      <c r="Q1094" t="str">
        <v>Male</v>
      </c>
      <c r="R1094">
        <v>47</v>
      </c>
      <c r="S1094" t="str">
        <v>Beauty</v>
      </c>
      <c r="T1094">
        <v>1</v>
      </c>
      <c r="U1094">
        <v>30</v>
      </c>
      <c r="V1094">
        <v>30</v>
      </c>
      <c r="W1094">
        <v>30</v>
      </c>
      <c r="X1094">
        <v>2023</v>
      </c>
    </row>
    <row r="1095" spans="13:24" x14ac:dyDescent="0.35">
      <c r="M1095">
        <v>975</v>
      </c>
      <c r="N1095">
        <v>45015</v>
      </c>
      <c r="O1095" t="str">
        <v>March</v>
      </c>
      <c r="P1095" t="str">
        <v>CUST975</v>
      </c>
      <c r="Q1095" t="str">
        <v>Female</v>
      </c>
      <c r="R1095">
        <v>56</v>
      </c>
      <c r="S1095" t="str">
        <v>Clothing</v>
      </c>
      <c r="T1095">
        <v>4</v>
      </c>
      <c r="U1095">
        <v>50</v>
      </c>
      <c r="V1095">
        <v>200</v>
      </c>
      <c r="W1095">
        <v>200</v>
      </c>
      <c r="X1095">
        <v>2023</v>
      </c>
    </row>
    <row r="1096" spans="13:24" x14ac:dyDescent="0.35">
      <c r="M1096">
        <v>976</v>
      </c>
      <c r="N1096">
        <v>45209</v>
      </c>
      <c r="O1096" t="str">
        <v>October</v>
      </c>
      <c r="P1096" t="str">
        <v>CUST976</v>
      </c>
      <c r="Q1096" t="str">
        <v>Female</v>
      </c>
      <c r="R1096">
        <v>48</v>
      </c>
      <c r="S1096" t="str">
        <v>Beauty</v>
      </c>
      <c r="T1096">
        <v>2</v>
      </c>
      <c r="U1096">
        <v>300</v>
      </c>
      <c r="V1096">
        <v>600</v>
      </c>
      <c r="W1096">
        <v>600</v>
      </c>
      <c r="X1096">
        <v>2023</v>
      </c>
    </row>
    <row r="1097" spans="13:24" x14ac:dyDescent="0.35">
      <c r="M1097">
        <v>977</v>
      </c>
      <c r="N1097">
        <v>44965</v>
      </c>
      <c r="O1097" t="str">
        <v>February</v>
      </c>
      <c r="P1097" t="str">
        <v>CUST977</v>
      </c>
      <c r="Q1097" t="str">
        <v>Female</v>
      </c>
      <c r="R1097">
        <v>35</v>
      </c>
      <c r="S1097" t="str">
        <v>Electronics</v>
      </c>
      <c r="T1097">
        <v>3</v>
      </c>
      <c r="U1097">
        <v>25</v>
      </c>
      <c r="V1097">
        <v>75</v>
      </c>
      <c r="W1097">
        <v>75</v>
      </c>
      <c r="X1097">
        <v>2023</v>
      </c>
    </row>
    <row r="1098" spans="13:24" x14ac:dyDescent="0.35">
      <c r="M1098">
        <v>978</v>
      </c>
      <c r="N1098">
        <v>45007</v>
      </c>
      <c r="O1098" t="str">
        <v>March</v>
      </c>
      <c r="P1098" t="str">
        <v>CUST978</v>
      </c>
      <c r="Q1098" t="str">
        <v>Female</v>
      </c>
      <c r="R1098">
        <v>53</v>
      </c>
      <c r="S1098" t="str">
        <v>Clothing</v>
      </c>
      <c r="T1098">
        <v>3</v>
      </c>
      <c r="U1098">
        <v>50</v>
      </c>
      <c r="V1098">
        <v>150</v>
      </c>
      <c r="W1098">
        <v>150</v>
      </c>
      <c r="X1098">
        <v>2023</v>
      </c>
    </row>
    <row r="1099" spans="13:24" x14ac:dyDescent="0.35">
      <c r="M1099">
        <v>979</v>
      </c>
      <c r="N1099">
        <v>44928</v>
      </c>
      <c r="O1099" t="str">
        <v>January</v>
      </c>
      <c r="P1099" t="str">
        <v>CUST979</v>
      </c>
      <c r="Q1099" t="str">
        <v>Female</v>
      </c>
      <c r="R1099">
        <v>19</v>
      </c>
      <c r="S1099" t="str">
        <v>Beauty</v>
      </c>
      <c r="T1099">
        <v>1</v>
      </c>
      <c r="U1099">
        <v>25</v>
      </c>
      <c r="V1099">
        <v>25</v>
      </c>
      <c r="W1099">
        <v>25</v>
      </c>
      <c r="X1099">
        <v>2023</v>
      </c>
    </row>
    <row r="1100" spans="13:24" x14ac:dyDescent="0.35">
      <c r="M1100">
        <v>980</v>
      </c>
      <c r="N1100">
        <v>45136</v>
      </c>
      <c r="O1100" t="str">
        <v>July</v>
      </c>
      <c r="P1100" t="str">
        <v>CUST980</v>
      </c>
      <c r="Q1100" t="str">
        <v>Female</v>
      </c>
      <c r="R1100">
        <v>31</v>
      </c>
      <c r="S1100" t="str">
        <v>Electronics</v>
      </c>
      <c r="T1100">
        <v>3</v>
      </c>
      <c r="U1100">
        <v>25</v>
      </c>
      <c r="V1100">
        <v>75</v>
      </c>
      <c r="W1100">
        <v>75</v>
      </c>
      <c r="X1100">
        <v>2023</v>
      </c>
    </row>
    <row r="1101" spans="13:24" x14ac:dyDescent="0.35">
      <c r="M1101">
        <v>981</v>
      </c>
      <c r="N1101">
        <v>45157</v>
      </c>
      <c r="O1101" t="str">
        <v>August</v>
      </c>
      <c r="P1101" t="str">
        <v>CUST981</v>
      </c>
      <c r="Q1101" t="str">
        <v>Female</v>
      </c>
      <c r="R1101">
        <v>30</v>
      </c>
      <c r="S1101" t="str">
        <v>Electronics</v>
      </c>
      <c r="T1101">
        <v>2</v>
      </c>
      <c r="U1101">
        <v>30</v>
      </c>
      <c r="V1101">
        <v>60</v>
      </c>
      <c r="W1101">
        <v>60</v>
      </c>
      <c r="X1101">
        <v>2023</v>
      </c>
    </row>
    <row r="1102" spans="13:24" x14ac:dyDescent="0.35">
      <c r="M1102">
        <v>982</v>
      </c>
      <c r="N1102">
        <v>45279</v>
      </c>
      <c r="O1102" t="str">
        <v>December</v>
      </c>
      <c r="P1102" t="str">
        <v>CUST982</v>
      </c>
      <c r="Q1102" t="str">
        <v>Female</v>
      </c>
      <c r="R1102">
        <v>46</v>
      </c>
      <c r="S1102" t="str">
        <v>Beauty</v>
      </c>
      <c r="T1102">
        <v>3</v>
      </c>
      <c r="U1102">
        <v>30</v>
      </c>
      <c r="V1102">
        <v>90</v>
      </c>
      <c r="W1102">
        <v>90</v>
      </c>
      <c r="X1102">
        <v>2023</v>
      </c>
    </row>
    <row r="1103" spans="13:24" x14ac:dyDescent="0.35">
      <c r="M1103">
        <v>983</v>
      </c>
      <c r="N1103">
        <v>45231</v>
      </c>
      <c r="O1103" t="str">
        <v>November</v>
      </c>
      <c r="P1103" t="str">
        <v>CUST983</v>
      </c>
      <c r="Q1103" t="str">
        <v>Female</v>
      </c>
      <c r="R1103">
        <v>29</v>
      </c>
      <c r="S1103" t="str">
        <v>Clothing</v>
      </c>
      <c r="T1103">
        <v>1</v>
      </c>
      <c r="U1103">
        <v>300</v>
      </c>
      <c r="V1103">
        <v>300</v>
      </c>
      <c r="W1103">
        <v>300</v>
      </c>
      <c r="X1103">
        <v>2023</v>
      </c>
    </row>
    <row r="1104" spans="13:24" x14ac:dyDescent="0.35">
      <c r="M1104">
        <v>984</v>
      </c>
      <c r="N1104">
        <v>45167</v>
      </c>
      <c r="O1104" t="str">
        <v>August</v>
      </c>
      <c r="P1104" t="str">
        <v>CUST984</v>
      </c>
      <c r="Q1104" t="str">
        <v>Male</v>
      </c>
      <c r="R1104">
        <v>56</v>
      </c>
      <c r="S1104" t="str">
        <v>Clothing</v>
      </c>
      <c r="T1104">
        <v>1</v>
      </c>
      <c r="U1104">
        <v>500</v>
      </c>
      <c r="V1104">
        <v>500</v>
      </c>
      <c r="W1104">
        <v>500</v>
      </c>
      <c r="X1104">
        <v>2023</v>
      </c>
    </row>
    <row r="1105" spans="13:24" x14ac:dyDescent="0.35">
      <c r="M1105">
        <v>985</v>
      </c>
      <c r="N1105">
        <v>45076</v>
      </c>
      <c r="O1105" t="str">
        <v>May</v>
      </c>
      <c r="P1105" t="str">
        <v>CUST985</v>
      </c>
      <c r="Q1105" t="str">
        <v>Female</v>
      </c>
      <c r="R1105">
        <v>19</v>
      </c>
      <c r="S1105" t="str">
        <v>Electronics</v>
      </c>
      <c r="T1105">
        <v>2</v>
      </c>
      <c r="U1105">
        <v>25</v>
      </c>
      <c r="V1105">
        <v>50</v>
      </c>
      <c r="W1105">
        <v>50</v>
      </c>
      <c r="X1105">
        <v>2023</v>
      </c>
    </row>
    <row r="1106" spans="13:24" x14ac:dyDescent="0.35">
      <c r="M1106">
        <v>986</v>
      </c>
      <c r="N1106">
        <v>44943</v>
      </c>
      <c r="O1106" t="str">
        <v>January</v>
      </c>
      <c r="P1106" t="str">
        <v>CUST986</v>
      </c>
      <c r="Q1106" t="str">
        <v>Female</v>
      </c>
      <c r="R1106">
        <v>49</v>
      </c>
      <c r="S1106" t="str">
        <v>Clothing</v>
      </c>
      <c r="T1106">
        <v>2</v>
      </c>
      <c r="U1106">
        <v>500</v>
      </c>
      <c r="V1106">
        <v>1000</v>
      </c>
      <c r="W1106">
        <v>1000</v>
      </c>
      <c r="X1106">
        <v>2023</v>
      </c>
    </row>
    <row r="1107" spans="13:24" x14ac:dyDescent="0.35">
      <c r="M1107">
        <v>987</v>
      </c>
      <c r="N1107">
        <v>45045</v>
      </c>
      <c r="O1107" t="str">
        <v>April</v>
      </c>
      <c r="P1107" t="str">
        <v>CUST987</v>
      </c>
      <c r="Q1107" t="str">
        <v>Female</v>
      </c>
      <c r="R1107">
        <v>30</v>
      </c>
      <c r="S1107" t="str">
        <v>Clothing</v>
      </c>
      <c r="T1107">
        <v>3</v>
      </c>
      <c r="U1107">
        <v>300</v>
      </c>
      <c r="V1107">
        <v>900</v>
      </c>
      <c r="W1107">
        <v>900</v>
      </c>
      <c r="X1107">
        <v>2023</v>
      </c>
    </row>
    <row r="1108" spans="13:24" x14ac:dyDescent="0.35">
      <c r="M1108">
        <v>988</v>
      </c>
      <c r="N1108">
        <v>45074</v>
      </c>
      <c r="O1108" t="str">
        <v>May</v>
      </c>
      <c r="P1108" t="str">
        <v>CUST988</v>
      </c>
      <c r="Q1108" t="str">
        <v>Female</v>
      </c>
      <c r="R1108">
        <v>63</v>
      </c>
      <c r="S1108" t="str">
        <v>Clothing</v>
      </c>
      <c r="T1108">
        <v>3</v>
      </c>
      <c r="U1108">
        <v>25</v>
      </c>
      <c r="V1108">
        <v>75</v>
      </c>
      <c r="W1108">
        <v>75</v>
      </c>
      <c r="X1108">
        <v>2023</v>
      </c>
    </row>
    <row r="1109" spans="13:24" x14ac:dyDescent="0.35">
      <c r="M1109">
        <v>989</v>
      </c>
      <c r="N1109">
        <v>45288</v>
      </c>
      <c r="O1109" t="str">
        <v>December</v>
      </c>
      <c r="P1109" t="str">
        <v>CUST989</v>
      </c>
      <c r="Q1109" t="str">
        <v>Female</v>
      </c>
      <c r="R1109">
        <v>44</v>
      </c>
      <c r="S1109" t="str">
        <v>Electronics</v>
      </c>
      <c r="T1109">
        <v>1</v>
      </c>
      <c r="U1109">
        <v>25</v>
      </c>
      <c r="V1109">
        <v>25</v>
      </c>
      <c r="W1109">
        <v>25</v>
      </c>
      <c r="X1109">
        <v>2023</v>
      </c>
    </row>
    <row r="1110" spans="13:24" x14ac:dyDescent="0.35">
      <c r="M1110">
        <v>990</v>
      </c>
      <c r="N1110">
        <v>45071</v>
      </c>
      <c r="O1110" t="str">
        <v>May</v>
      </c>
      <c r="P1110" t="str">
        <v>CUST990</v>
      </c>
      <c r="Q1110" t="str">
        <v>Female</v>
      </c>
      <c r="R1110">
        <v>58</v>
      </c>
      <c r="S1110" t="str">
        <v>Beauty</v>
      </c>
      <c r="T1110">
        <v>2</v>
      </c>
      <c r="U1110">
        <v>500</v>
      </c>
      <c r="V1110">
        <v>1000</v>
      </c>
      <c r="W1110">
        <v>1000</v>
      </c>
      <c r="X1110">
        <v>2023</v>
      </c>
    </row>
    <row r="1111" spans="13:24" x14ac:dyDescent="0.35">
      <c r="M1111">
        <v>991</v>
      </c>
      <c r="N1111">
        <v>45286</v>
      </c>
      <c r="O1111" t="str">
        <v>December</v>
      </c>
      <c r="P1111" t="str">
        <v>CUST991</v>
      </c>
      <c r="Q1111" t="str">
        <v>Female</v>
      </c>
      <c r="R1111">
        <v>34</v>
      </c>
      <c r="S1111" t="str">
        <v>Clothing</v>
      </c>
      <c r="T1111">
        <v>2</v>
      </c>
      <c r="U1111">
        <v>50</v>
      </c>
      <c r="V1111">
        <v>100</v>
      </c>
      <c r="W1111">
        <v>100</v>
      </c>
      <c r="X1111">
        <v>2023</v>
      </c>
    </row>
    <row r="1112" spans="13:24" x14ac:dyDescent="0.35">
      <c r="M1112">
        <v>992</v>
      </c>
      <c r="N1112">
        <v>45159</v>
      </c>
      <c r="O1112" t="str">
        <v>August</v>
      </c>
      <c r="P1112" t="str">
        <v>CUST992</v>
      </c>
      <c r="Q1112" t="str">
        <v>Female</v>
      </c>
      <c r="R1112">
        <v>57</v>
      </c>
      <c r="S1112" t="str">
        <v>Electronics</v>
      </c>
      <c r="T1112">
        <v>2</v>
      </c>
      <c r="U1112">
        <v>30</v>
      </c>
      <c r="V1112">
        <v>60</v>
      </c>
      <c r="W1112">
        <v>60</v>
      </c>
      <c r="X1112">
        <v>2023</v>
      </c>
    </row>
    <row r="1113" spans="13:24" x14ac:dyDescent="0.35">
      <c r="M1113">
        <v>993</v>
      </c>
      <c r="N1113">
        <v>44963</v>
      </c>
      <c r="O1113" t="str">
        <v>February</v>
      </c>
      <c r="P1113" t="str">
        <v>CUST993</v>
      </c>
      <c r="Q1113" t="str">
        <v>Female</v>
      </c>
      <c r="R1113">
        <v>48</v>
      </c>
      <c r="S1113" t="str">
        <v>Electronics</v>
      </c>
      <c r="T1113">
        <v>3</v>
      </c>
      <c r="U1113">
        <v>50</v>
      </c>
      <c r="V1113">
        <v>150</v>
      </c>
      <c r="W1113">
        <v>150</v>
      </c>
      <c r="X1113">
        <v>2023</v>
      </c>
    </row>
    <row r="1114" spans="13:24" x14ac:dyDescent="0.35">
      <c r="M1114">
        <v>994</v>
      </c>
      <c r="N1114">
        <v>45278</v>
      </c>
      <c r="O1114" t="str">
        <v>December</v>
      </c>
      <c r="P1114" t="str">
        <v>CUST994</v>
      </c>
      <c r="Q1114" t="str">
        <v>Female</v>
      </c>
      <c r="R1114">
        <v>51</v>
      </c>
      <c r="S1114" t="str">
        <v>Beauty</v>
      </c>
      <c r="T1114">
        <v>2</v>
      </c>
      <c r="U1114">
        <v>500</v>
      </c>
      <c r="V1114">
        <v>1000</v>
      </c>
      <c r="W1114">
        <v>1000</v>
      </c>
      <c r="X1114">
        <v>2023</v>
      </c>
    </row>
    <row r="1115" spans="13:24" x14ac:dyDescent="0.35">
      <c r="M1115">
        <v>995</v>
      </c>
      <c r="N1115">
        <v>45046</v>
      </c>
      <c r="O1115" t="str">
        <v>April</v>
      </c>
      <c r="P1115" t="str">
        <v>CUST995</v>
      </c>
      <c r="Q1115" t="str">
        <v>Female</v>
      </c>
      <c r="R1115">
        <v>41</v>
      </c>
      <c r="S1115" t="str">
        <v>Clothing</v>
      </c>
      <c r="T1115">
        <v>1</v>
      </c>
      <c r="U1115">
        <v>30</v>
      </c>
      <c r="V1115">
        <v>30</v>
      </c>
      <c r="W1115">
        <v>30</v>
      </c>
      <c r="X1115">
        <v>2023</v>
      </c>
    </row>
    <row r="1116" spans="13:24" x14ac:dyDescent="0.35">
      <c r="M1116">
        <v>996</v>
      </c>
      <c r="N1116">
        <v>45062</v>
      </c>
      <c r="O1116" t="str">
        <v>May</v>
      </c>
      <c r="P1116" t="str">
        <v>CUST996</v>
      </c>
      <c r="Q1116" t="str">
        <v>Male</v>
      </c>
      <c r="R1116">
        <v>62</v>
      </c>
      <c r="S1116" t="str">
        <v>Clothing</v>
      </c>
      <c r="T1116">
        <v>1</v>
      </c>
      <c r="U1116">
        <v>50</v>
      </c>
      <c r="V1116">
        <v>50</v>
      </c>
      <c r="W1116">
        <v>50</v>
      </c>
      <c r="X1116">
        <v>2023</v>
      </c>
    </row>
    <row r="1117" spans="13:24" x14ac:dyDescent="0.35">
      <c r="M1117">
        <v>997</v>
      </c>
      <c r="N1117">
        <v>45247</v>
      </c>
      <c r="O1117" t="str">
        <v>November</v>
      </c>
      <c r="P1117" t="str">
        <v>CUST997</v>
      </c>
      <c r="Q1117" t="str">
        <v>Male</v>
      </c>
      <c r="R1117">
        <v>52</v>
      </c>
      <c r="S1117" t="str">
        <v>Beauty</v>
      </c>
      <c r="T1117">
        <v>3</v>
      </c>
      <c r="U1117">
        <v>30</v>
      </c>
      <c r="V1117">
        <v>90</v>
      </c>
      <c r="W1117">
        <v>90</v>
      </c>
      <c r="X1117">
        <v>2023</v>
      </c>
    </row>
    <row r="1118" spans="13:24" x14ac:dyDescent="0.35">
      <c r="M1118">
        <v>998</v>
      </c>
      <c r="N1118">
        <v>45228</v>
      </c>
      <c r="O1118" t="str">
        <v>October</v>
      </c>
      <c r="P1118" t="str">
        <v>CUST998</v>
      </c>
      <c r="Q1118" t="str">
        <v>Female</v>
      </c>
      <c r="R1118">
        <v>23</v>
      </c>
      <c r="S1118" t="str">
        <v>Beauty</v>
      </c>
      <c r="T1118">
        <v>4</v>
      </c>
      <c r="U1118">
        <v>25</v>
      </c>
      <c r="V1118">
        <v>100</v>
      </c>
      <c r="W1118">
        <v>100</v>
      </c>
      <c r="X1118">
        <v>2023</v>
      </c>
    </row>
    <row r="1119" spans="13:24" x14ac:dyDescent="0.35">
      <c r="M1119">
        <v>999</v>
      </c>
      <c r="N1119">
        <v>45265</v>
      </c>
      <c r="O1119" t="str">
        <v>December</v>
      </c>
      <c r="P1119" t="str">
        <v>CUST999</v>
      </c>
      <c r="Q1119" t="str">
        <v>Female</v>
      </c>
      <c r="R1119">
        <v>36</v>
      </c>
      <c r="S1119" t="str">
        <v>Electronics</v>
      </c>
      <c r="T1119">
        <v>3</v>
      </c>
      <c r="U1119">
        <v>50</v>
      </c>
      <c r="V1119">
        <v>150</v>
      </c>
      <c r="W1119">
        <v>150</v>
      </c>
      <c r="X1119">
        <v>2023</v>
      </c>
    </row>
    <row r="1120" spans="13:24" x14ac:dyDescent="0.35">
      <c r="M1120">
        <v>1000</v>
      </c>
      <c r="N1120">
        <v>45028</v>
      </c>
      <c r="O1120" t="str">
        <v>April</v>
      </c>
      <c r="P1120" t="str">
        <v>CUST1000</v>
      </c>
      <c r="Q1120" t="str">
        <v>Male</v>
      </c>
      <c r="R1120">
        <v>47</v>
      </c>
      <c r="S1120" t="str">
        <v>Electronics</v>
      </c>
      <c r="T1120">
        <v>4</v>
      </c>
      <c r="U1120">
        <v>30</v>
      </c>
      <c r="V1120">
        <v>120</v>
      </c>
      <c r="W1120">
        <v>120</v>
      </c>
      <c r="X1120">
        <v>2023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66C6-21EF-4091-8F50-3C423026A864}">
  <dimension ref="A2:B6"/>
  <sheetViews>
    <sheetView workbookViewId="0">
      <selection activeCell="B5" sqref="B5"/>
    </sheetView>
  </sheetViews>
  <sheetFormatPr defaultRowHeight="14.5" x14ac:dyDescent="0.35"/>
  <cols>
    <col min="1" max="1" width="21.08984375" bestFit="1" customWidth="1"/>
    <col min="2" max="2" width="12.08984375" bestFit="1" customWidth="1"/>
  </cols>
  <sheetData>
    <row r="2" spans="1:2" x14ac:dyDescent="0.35">
      <c r="A2" s="4" t="s">
        <v>1033</v>
      </c>
      <c r="B2" s="7">
        <f>GETPIVOTDATA("Total Amount",KPI_Pivots!$A$3)</f>
        <v>456000</v>
      </c>
    </row>
    <row r="3" spans="1:2" x14ac:dyDescent="0.35">
      <c r="A3" s="4" t="s">
        <v>1034</v>
      </c>
      <c r="B3" s="8">
        <f>GETPIVOTDATA("Count of Transaction ID",KPI_Pivots!$A$3)</f>
        <v>1000</v>
      </c>
    </row>
    <row r="4" spans="1:2" x14ac:dyDescent="0.35">
      <c r="A4" s="4" t="s">
        <v>1035</v>
      </c>
      <c r="B4" s="7">
        <f>GETPIVOTDATA("Average Order Value",KPI_Pivots!$A$3)</f>
        <v>456</v>
      </c>
    </row>
    <row r="5" spans="1:2" x14ac:dyDescent="0.35">
      <c r="A5" s="4" t="s">
        <v>1036</v>
      </c>
      <c r="B5" s="4" t="str">
        <f>KPI_Pivots!A8</f>
        <v>Electronics</v>
      </c>
    </row>
    <row r="6" spans="1:2" x14ac:dyDescent="0.35">
      <c r="A6" s="4" t="s">
        <v>1037</v>
      </c>
      <c r="B6" s="4" t="str">
        <f>KPI_Pivots!A14</f>
        <v>January</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2148F-2A4A-4929-AE84-73BE27EC3624}">
  <dimension ref="B1:C6"/>
  <sheetViews>
    <sheetView workbookViewId="0">
      <selection activeCell="G23" sqref="G23"/>
    </sheetView>
  </sheetViews>
  <sheetFormatPr defaultRowHeight="14.5" x14ac:dyDescent="0.35"/>
  <cols>
    <col min="2" max="2" width="23.08984375" bestFit="1" customWidth="1"/>
    <col min="3" max="3" width="12.08984375" bestFit="1" customWidth="1"/>
  </cols>
  <sheetData>
    <row r="1" spans="2:3" ht="15.5" x14ac:dyDescent="0.35">
      <c r="B1" s="14" t="s">
        <v>1039</v>
      </c>
      <c r="C1" s="14"/>
    </row>
    <row r="2" spans="2:3" x14ac:dyDescent="0.35">
      <c r="B2" s="9" t="s">
        <v>1033</v>
      </c>
      <c r="C2" s="10">
        <v>456000</v>
      </c>
    </row>
    <row r="3" spans="2:3" x14ac:dyDescent="0.35">
      <c r="B3" s="9" t="s">
        <v>1034</v>
      </c>
      <c r="C3" s="11">
        <v>1000</v>
      </c>
    </row>
    <row r="4" spans="2:3" x14ac:dyDescent="0.35">
      <c r="B4" s="9" t="s">
        <v>1035</v>
      </c>
      <c r="C4" s="12">
        <v>456</v>
      </c>
    </row>
    <row r="5" spans="2:3" x14ac:dyDescent="0.35">
      <c r="B5" s="9" t="s">
        <v>1036</v>
      </c>
      <c r="C5" s="11" t="s">
        <v>22</v>
      </c>
    </row>
    <row r="6" spans="2:3" x14ac:dyDescent="0.35">
      <c r="B6" s="9" t="s">
        <v>1037</v>
      </c>
      <c r="C6" s="11" t="s">
        <v>23</v>
      </c>
    </row>
  </sheetData>
  <mergeCells count="1">
    <mergeCell ref="B1:C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C36FD-8088-44B8-9009-01DCB9A1891D}">
  <dimension ref="B2:B32"/>
  <sheetViews>
    <sheetView tabSelected="1" workbookViewId="0">
      <selection activeCell="B2" sqref="B2:B32"/>
    </sheetView>
  </sheetViews>
  <sheetFormatPr defaultRowHeight="14.5" x14ac:dyDescent="0.35"/>
  <sheetData>
    <row r="2" spans="2:2" x14ac:dyDescent="0.35">
      <c r="B2" t="s">
        <v>1041</v>
      </c>
    </row>
    <row r="3" spans="2:2" x14ac:dyDescent="0.35">
      <c r="B3" t="s">
        <v>1042</v>
      </c>
    </row>
    <row r="5" spans="2:2" x14ac:dyDescent="0.35">
      <c r="B5" t="s">
        <v>1043</v>
      </c>
    </row>
    <row r="6" spans="2:2" x14ac:dyDescent="0.35">
      <c r="B6" t="s">
        <v>1044</v>
      </c>
    </row>
    <row r="7" spans="2:2" x14ac:dyDescent="0.35">
      <c r="B7" t="s">
        <v>1045</v>
      </c>
    </row>
    <row r="9" spans="2:2" x14ac:dyDescent="0.35">
      <c r="B9" t="s">
        <v>1046</v>
      </c>
    </row>
    <row r="10" spans="2:2" x14ac:dyDescent="0.35">
      <c r="B10" t="s">
        <v>1047</v>
      </c>
    </row>
    <row r="12" spans="2:2" x14ac:dyDescent="0.35">
      <c r="B12" t="s">
        <v>1048</v>
      </c>
    </row>
    <row r="13" spans="2:2" x14ac:dyDescent="0.35">
      <c r="B13" t="e" cm="1">
        <f t="array" ref="B13">- Microsoft Excel</f>
        <v>#NAME?</v>
      </c>
    </row>
    <row r="14" spans="2:2" x14ac:dyDescent="0.35">
      <c r="B14" t="e" cm="1">
        <f t="array" ref="B14">- Power Query</f>
        <v>#NAME?</v>
      </c>
    </row>
    <row r="15" spans="2:2" x14ac:dyDescent="0.35">
      <c r="B15" t="e" cm="1">
        <f t="array" ref="B15">- PivotTables (basic validation)</f>
        <v>#NAME?</v>
      </c>
    </row>
    <row r="17" spans="2:2" x14ac:dyDescent="0.35">
      <c r="B17" t="s">
        <v>1049</v>
      </c>
    </row>
    <row r="18" spans="2:2" x14ac:dyDescent="0.35">
      <c r="B18" t="e" cm="1">
        <f t="array" ref="B18">- Imported raw CSV data using Power Query</f>
        <v>#NAME?</v>
      </c>
    </row>
    <row r="19" spans="2:2" x14ac:dyDescent="0.35">
      <c r="B19" t="e" cm="1">
        <f t="array" ref="B19">- Standardized data types (dates, numbers, text)</f>
        <v>#NAME?</v>
      </c>
    </row>
    <row r="20" spans="2:2" x14ac:dyDescent="0.35">
      <c r="B20" t="e" cm="1">
        <f t="array" ref="B20">- Renamed columns for clarity</f>
        <v>#NAME?</v>
      </c>
    </row>
    <row r="21" spans="2:2" x14ac:dyDescent="0.35">
      <c r="B21" t="e" cm="1">
        <f t="array" ref="B21">- Added Month and Year columns from transaction date</f>
        <v>#NAME?</v>
      </c>
    </row>
    <row r="22" spans="2:2" x14ac:dyDescent="0.35">
      <c r="B22" t="e" cm="1">
        <f t="array" ref="B22">- Created validation column to verify total sales calculation</f>
        <v>#NAME?</v>
      </c>
    </row>
    <row r="23" spans="2:2" x14ac:dyDescent="0.35">
      <c r="B23" t="e" cm="1">
        <f t="array" ref="B23">- Removed unnecessary columns</f>
        <v>#NAME?</v>
      </c>
    </row>
    <row r="24" spans="2:2" x14ac:dyDescent="0.35">
      <c r="B24" t="e" cm="1">
        <f t="array" ref="B24">- Loaded clean data as a structured Excel table</f>
        <v>#NAME?</v>
      </c>
    </row>
    <row r="26" spans="2:2" x14ac:dyDescent="0.35">
      <c r="B26" t="s">
        <v>1050</v>
      </c>
    </row>
    <row r="27" spans="2:2" x14ac:dyDescent="0.35">
      <c r="B27" t="e">
        <f>- Cleaning logic should live in Power Query, not worksheets</f>
        <v>#NAME?</v>
      </c>
    </row>
    <row r="28" spans="2:2" x14ac:dyDescent="0.35">
      <c r="B28" t="e" cm="1">
        <f t="array" ref="B28">- validation checks are essential for trustworthy analysis</f>
        <v>#NAME?</v>
      </c>
    </row>
    <row r="29" spans="2:2" x14ac:dyDescent="0.35">
      <c r="B29" t="e" cm="1">
        <f t="array" ref="B29">- a clean data model makes analysis faster and safer</f>
        <v>#NAME?</v>
      </c>
    </row>
    <row r="31" spans="2:2" x14ac:dyDescent="0.35">
      <c r="B31" t="s">
        <v>1051</v>
      </c>
    </row>
    <row r="32" spans="2:2" x14ac:dyDescent="0.35">
      <c r="B32" t="s">
        <v>1052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B068F9-0285-4B3C-AC19-ECC70F6865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Analayzes_1</vt:lpstr>
      <vt:lpstr>KPI_Pivots</vt:lpstr>
      <vt:lpstr>retail_sales_dataset</vt:lpstr>
      <vt:lpstr>KPIs</vt:lpstr>
      <vt:lpstr>Dashboard</vt:lpstr>
      <vt:lpstr>About_Project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Derese Kefale (A)</dc:creator>
  <cp:lastModifiedBy>Derese Kefale (A)</cp:lastModifiedBy>
  <dcterms:created xsi:type="dcterms:W3CDTF">2025-12-19T18:35:02Z</dcterms:created>
  <dcterms:modified xsi:type="dcterms:W3CDTF">2025-12-29T07:44:08Z</dcterms:modified>
</cp:coreProperties>
</file>